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1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CCE\1、厂家资料\12.菲律宾\"/>
    </mc:Choice>
  </mc:AlternateContent>
  <xr:revisionPtr revIDLastSave="0" documentId="13_ncr:1_{281539A3-A8FE-460B-885D-56A595627E17}" xr6:coauthVersionLast="47" xr6:coauthVersionMax="47" xr10:uidLastSave="{00000000-0000-0000-0000-000000000000}"/>
  <bookViews>
    <workbookView xWindow="-110" yWindow="-110" windowWidth="25820" windowHeight="15500" tabRatio="798" xr2:uid="{00000000-000D-0000-FFFF-FFFF00000000}"/>
  </bookViews>
  <sheets>
    <sheet name="成本&amp;报价" sheetId="1" r:id="rId1"/>
    <sheet name="收益" sheetId="8" r:id="rId2"/>
    <sheet name="IRR(电费折让30%收费20年）" sheetId="16" r:id="rId3"/>
    <sheet name="IRR(7年后1元转让给业主）" sheetId="15" r:id="rId4"/>
    <sheet name="PPT" sheetId="17" r:id="rId5"/>
  </sheets>
  <externalReferences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6" l="1"/>
  <c r="D7" i="17" s="1"/>
  <c r="J14" i="17" s="1"/>
  <c r="F14" i="17" s="1"/>
  <c r="B2" i="16"/>
  <c r="J24" i="17"/>
  <c r="F24" i="17" s="1"/>
  <c r="H29" i="17"/>
  <c r="F29" i="17" s="1"/>
  <c r="J29" i="17"/>
  <c r="F28" i="17"/>
  <c r="H28" i="17"/>
  <c r="J28" i="17"/>
  <c r="J27" i="17"/>
  <c r="O3" i="15"/>
  <c r="O4" i="15" s="1"/>
  <c r="O5" i="15" s="1"/>
  <c r="O6" i="15" s="1"/>
  <c r="O7" i="15" s="1"/>
  <c r="O8" i="15" s="1"/>
  <c r="O9" i="15" s="1"/>
  <c r="O10" i="15" s="1"/>
  <c r="O11" i="15" s="1"/>
  <c r="P4" i="15"/>
  <c r="P5" i="15"/>
  <c r="P6" i="15"/>
  <c r="P7" i="15"/>
  <c r="P8" i="15"/>
  <c r="P9" i="15"/>
  <c r="P10" i="15"/>
  <c r="P11" i="15"/>
  <c r="P3" i="15"/>
  <c r="F20" i="17"/>
  <c r="F21" i="17"/>
  <c r="F22" i="17"/>
  <c r="F25" i="17"/>
  <c r="J26" i="17"/>
  <c r="F26" i="17" s="1"/>
  <c r="J25" i="17"/>
  <c r="H22" i="17"/>
  <c r="J22" i="17"/>
  <c r="H23" i="17"/>
  <c r="J23" i="17"/>
  <c r="F23" i="17" s="1"/>
  <c r="H24" i="17"/>
  <c r="H25" i="17"/>
  <c r="H26" i="17"/>
  <c r="H27" i="17"/>
  <c r="F27" i="17" s="1"/>
  <c r="A15" i="17"/>
  <c r="A16" i="17"/>
  <c r="A17" i="17"/>
  <c r="A18" i="17"/>
  <c r="A19" i="17"/>
  <c r="A20" i="17"/>
  <c r="A21" i="17"/>
  <c r="A22" i="17"/>
  <c r="A23" i="17"/>
  <c r="D11" i="17"/>
  <c r="J18" i="17" s="1"/>
  <c r="D5" i="17"/>
  <c r="J12" i="17" s="1"/>
  <c r="F12" i="17" s="1"/>
  <c r="J21" i="17"/>
  <c r="H21" i="17"/>
  <c r="H19" i="17"/>
  <c r="H18" i="17"/>
  <c r="H17" i="17"/>
  <c r="H16" i="17"/>
  <c r="H15" i="17"/>
  <c r="H14" i="17"/>
  <c r="H13" i="17"/>
  <c r="H12" i="17"/>
  <c r="J20" i="17"/>
  <c r="H20" i="17"/>
  <c r="H11" i="17"/>
  <c r="H10" i="17"/>
  <c r="H9" i="17"/>
  <c r="A14" i="17"/>
  <c r="A12" i="17"/>
  <c r="A11" i="17"/>
  <c r="A10" i="17"/>
  <c r="A9" i="17"/>
  <c r="A8" i="17"/>
  <c r="A7" i="17"/>
  <c r="A6" i="17"/>
  <c r="A5" i="17"/>
  <c r="A13" i="17"/>
  <c r="A4" i="17"/>
  <c r="A3" i="17"/>
  <c r="A2" i="17"/>
  <c r="F18" i="17" l="1"/>
  <c r="A77" i="1"/>
  <c r="F76" i="1"/>
  <c r="F75" i="1"/>
  <c r="C73" i="1"/>
  <c r="C72" i="1"/>
  <c r="A48" i="1"/>
  <c r="F47" i="1"/>
  <c r="F46" i="1"/>
  <c r="C54" i="1" s="1"/>
  <c r="C45" i="1"/>
  <c r="C74" i="1" s="1"/>
  <c r="D42" i="1"/>
  <c r="C42" i="1"/>
  <c r="C71" i="1" s="1"/>
  <c r="D41" i="1"/>
  <c r="D70" i="1" s="1"/>
  <c r="F70" i="1" s="1"/>
  <c r="C41" i="1"/>
  <c r="C70" i="1" s="1"/>
  <c r="D40" i="1"/>
  <c r="C40" i="1"/>
  <c r="C69" i="1" s="1"/>
  <c r="D39" i="1"/>
  <c r="C39" i="1"/>
  <c r="C68" i="1" s="1"/>
  <c r="D38" i="1"/>
  <c r="D67" i="1" s="1"/>
  <c r="F67" i="1" s="1"/>
  <c r="C38" i="1"/>
  <c r="C67" i="1" s="1"/>
  <c r="D37" i="1"/>
  <c r="D66" i="1" s="1"/>
  <c r="D36" i="1"/>
  <c r="D65" i="1" s="1"/>
  <c r="C36" i="1"/>
  <c r="C65" i="1" s="1"/>
  <c r="D35" i="1"/>
  <c r="D64" i="1" s="1"/>
  <c r="F64" i="1" s="1"/>
  <c r="C35" i="1"/>
  <c r="C64" i="1" s="1"/>
  <c r="D34" i="1"/>
  <c r="C32" i="1"/>
  <c r="C61" i="1" s="1"/>
  <c r="C31" i="1"/>
  <c r="C60" i="1" s="1"/>
  <c r="D4" i="17" s="1"/>
  <c r="J11" i="17" s="1"/>
  <c r="F11" i="17" s="1"/>
  <c r="F65" i="1" l="1"/>
  <c r="F39" i="1"/>
  <c r="F40" i="1"/>
  <c r="F36" i="1"/>
  <c r="D63" i="1"/>
  <c r="F42" i="1"/>
  <c r="F41" i="1"/>
  <c r="D69" i="1"/>
  <c r="F69" i="1" s="1"/>
  <c r="F38" i="1"/>
  <c r="D71" i="1"/>
  <c r="F71" i="1" s="1"/>
  <c r="F35" i="1"/>
  <c r="D68" i="1"/>
  <c r="F68" i="1" s="1"/>
  <c r="F19" i="1" l="1"/>
  <c r="A19" i="1"/>
  <c r="F18" i="1"/>
  <c r="A18" i="1"/>
  <c r="F17" i="1"/>
  <c r="A17" i="1"/>
  <c r="F16" i="1"/>
  <c r="A16" i="1"/>
  <c r="C15" i="1"/>
  <c r="A15" i="1"/>
  <c r="F14" i="1"/>
  <c r="A14" i="1"/>
  <c r="F13" i="1"/>
  <c r="A13" i="1"/>
  <c r="F12" i="1"/>
  <c r="A12" i="1"/>
  <c r="F11" i="1"/>
  <c r="A11" i="1"/>
  <c r="F10" i="1"/>
  <c r="A10" i="1"/>
  <c r="A9" i="1"/>
  <c r="F8" i="1"/>
  <c r="A8" i="1"/>
  <c r="F7" i="1"/>
  <c r="A7" i="1"/>
  <c r="A6" i="1"/>
  <c r="K5" i="1"/>
  <c r="C6" i="1" s="1"/>
  <c r="C34" i="1" s="1"/>
  <c r="D5" i="1"/>
  <c r="D33" i="1" s="1"/>
  <c r="C5" i="1"/>
  <c r="A5" i="1"/>
  <c r="D4" i="1"/>
  <c r="A4" i="1"/>
  <c r="D3" i="1"/>
  <c r="A3" i="1"/>
  <c r="A31" i="1" l="1"/>
  <c r="A60" i="1"/>
  <c r="A61" i="1"/>
  <c r="A32" i="1"/>
  <c r="A62" i="1"/>
  <c r="A33" i="1"/>
  <c r="C9" i="1"/>
  <c r="C37" i="1" s="1"/>
  <c r="D2" i="17"/>
  <c r="F33" i="1"/>
  <c r="D62" i="1"/>
  <c r="F62" i="1" s="1"/>
  <c r="A44" i="1"/>
  <c r="A73" i="1"/>
  <c r="A46" i="1"/>
  <c r="A75" i="1"/>
  <c r="A69" i="1"/>
  <c r="A40" i="1"/>
  <c r="A41" i="1"/>
  <c r="A70" i="1"/>
  <c r="F4" i="1"/>
  <c r="D32" i="1"/>
  <c r="A42" i="1"/>
  <c r="A71" i="1"/>
  <c r="F5" i="1"/>
  <c r="C33" i="1"/>
  <c r="C62" i="1" s="1"/>
  <c r="A37" i="1"/>
  <c r="A66" i="1"/>
  <c r="A68" i="1"/>
  <c r="A39" i="1"/>
  <c r="F3" i="1"/>
  <c r="D31" i="1"/>
  <c r="A43" i="1"/>
  <c r="A72" i="1"/>
  <c r="A63" i="1"/>
  <c r="A34" i="1"/>
  <c r="A45" i="1"/>
  <c r="A74" i="1"/>
  <c r="A76" i="1"/>
  <c r="A47" i="1"/>
  <c r="C63" i="1"/>
  <c r="F63" i="1" s="1"/>
  <c r="F34" i="1"/>
  <c r="A64" i="1"/>
  <c r="A35" i="1"/>
  <c r="A65" i="1"/>
  <c r="A36" i="1"/>
  <c r="A38" i="1"/>
  <c r="A67" i="1"/>
  <c r="C24" i="1"/>
  <c r="D44" i="1" s="1"/>
  <c r="C25" i="1"/>
  <c r="D45" i="1" s="1"/>
  <c r="F9" i="1"/>
  <c r="F6" i="1"/>
  <c r="F15" i="1"/>
  <c r="E89" i="15"/>
  <c r="E88" i="15"/>
  <c r="D88" i="15"/>
  <c r="E72" i="15"/>
  <c r="E71" i="15"/>
  <c r="D71" i="15"/>
  <c r="E55" i="15"/>
  <c r="E54" i="15"/>
  <c r="D54" i="15"/>
  <c r="E38" i="15"/>
  <c r="D38" i="15"/>
  <c r="D55" i="15" s="1"/>
  <c r="D72" i="15" s="1"/>
  <c r="D89" i="15" s="1"/>
  <c r="E37" i="15"/>
  <c r="D37" i="15"/>
  <c r="E20" i="15"/>
  <c r="E21" i="15"/>
  <c r="D20" i="15"/>
  <c r="D192" i="16"/>
  <c r="D165" i="16"/>
  <c r="D138" i="16"/>
  <c r="D111" i="16"/>
  <c r="D84" i="16"/>
  <c r="D57" i="16"/>
  <c r="D30" i="16"/>
  <c r="D193" i="16"/>
  <c r="D166" i="16"/>
  <c r="D139" i="16"/>
  <c r="D112" i="16"/>
  <c r="D85" i="16"/>
  <c r="D58" i="16"/>
  <c r="D31" i="16"/>
  <c r="D21" i="15"/>
  <c r="C23" i="1" l="1"/>
  <c r="D43" i="1" s="1"/>
  <c r="C22" i="1"/>
  <c r="C27" i="1" s="1"/>
  <c r="D3" i="17"/>
  <c r="J10" i="17" s="1"/>
  <c r="F10" i="17" s="1"/>
  <c r="J9" i="17"/>
  <c r="F9" i="17" s="1"/>
  <c r="C66" i="1"/>
  <c r="F66" i="1" s="1"/>
  <c r="F37" i="1"/>
  <c r="F32" i="1"/>
  <c r="D61" i="1"/>
  <c r="F61" i="1" s="1"/>
  <c r="F31" i="1"/>
  <c r="C50" i="1" s="1"/>
  <c r="F50" i="1" s="1"/>
  <c r="D60" i="1"/>
  <c r="F60" i="1" s="1"/>
  <c r="D73" i="1"/>
  <c r="F73" i="1" s="1"/>
  <c r="F44" i="1"/>
  <c r="C52" i="1" s="1"/>
  <c r="F45" i="1"/>
  <c r="C53" i="1" s="1"/>
  <c r="D74" i="1"/>
  <c r="F74" i="1" s="1"/>
  <c r="C212" i="16"/>
  <c r="C213" i="16" s="1"/>
  <c r="C185" i="16"/>
  <c r="C186" i="16" s="1"/>
  <c r="C158" i="16"/>
  <c r="C159" i="16" s="1"/>
  <c r="C131" i="16"/>
  <c r="C132" i="16" s="1"/>
  <c r="C104" i="16"/>
  <c r="C105" i="16" s="1"/>
  <c r="C77" i="16"/>
  <c r="C78" i="16" s="1"/>
  <c r="C50" i="16"/>
  <c r="C51" i="16" s="1"/>
  <c r="C79" i="1" l="1"/>
  <c r="F79" i="1" s="1"/>
  <c r="F43" i="1"/>
  <c r="C51" i="1" s="1"/>
  <c r="F51" i="1" s="1"/>
  <c r="D72" i="1"/>
  <c r="F72" i="1" s="1"/>
  <c r="C81" i="1"/>
  <c r="C82" i="1"/>
  <c r="H46" i="8"/>
  <c r="G46" i="8"/>
  <c r="C80" i="1" l="1"/>
  <c r="F80" i="1" s="1"/>
  <c r="C55" i="1"/>
  <c r="B3" i="8"/>
  <c r="B48" i="8"/>
  <c r="C48" i="8"/>
  <c r="D48" i="8"/>
  <c r="E48" i="8"/>
  <c r="F48" i="8"/>
  <c r="G48" i="8"/>
  <c r="H48" i="8"/>
  <c r="I48" i="8"/>
  <c r="J48" i="8"/>
  <c r="K48" i="8"/>
  <c r="L48" i="8"/>
  <c r="M48" i="8"/>
  <c r="B1" i="8"/>
  <c r="C84" i="1" l="1"/>
  <c r="C23" i="16"/>
  <c r="C24" i="16"/>
  <c r="C12" i="15"/>
  <c r="C13" i="15"/>
  <c r="G53" i="8"/>
  <c r="G55" i="8" s="1"/>
  <c r="H53" i="8"/>
  <c r="H55" i="8" s="1"/>
  <c r="D84" i="1" l="1"/>
  <c r="B4" i="8"/>
  <c r="B5" i="8"/>
  <c r="B6" i="8"/>
  <c r="B7" i="8"/>
  <c r="B8" i="8"/>
  <c r="B9" i="8"/>
  <c r="B10" i="8"/>
  <c r="B11" i="8"/>
  <c r="B12" i="8"/>
  <c r="B13" i="8"/>
  <c r="B14" i="8"/>
  <c r="B46" i="8"/>
  <c r="C46" i="8"/>
  <c r="D46" i="8"/>
  <c r="E46" i="8"/>
  <c r="F46" i="8"/>
  <c r="I46" i="8"/>
  <c r="J46" i="8"/>
  <c r="K46" i="8"/>
  <c r="L46" i="8"/>
  <c r="M46" i="8"/>
  <c r="B53" i="8" l="1"/>
  <c r="B55" i="8" s="1"/>
  <c r="E53" i="8"/>
  <c r="E55" i="8" s="1"/>
  <c r="C53" i="8"/>
  <c r="C55" i="8" s="1"/>
  <c r="F53" i="8"/>
  <c r="F55" i="8" s="1"/>
  <c r="D53" i="8"/>
  <c r="D55" i="8" s="1"/>
  <c r="M53" i="8"/>
  <c r="M55" i="8" s="1"/>
  <c r="L53" i="8"/>
  <c r="L55" i="8" s="1"/>
  <c r="I53" i="8"/>
  <c r="K53" i="8"/>
  <c r="K55" i="8" s="1"/>
  <c r="J53" i="8"/>
  <c r="J55" i="8" s="1"/>
  <c r="B15" i="8"/>
  <c r="I55" i="8" l="1"/>
  <c r="B58" i="8" s="1"/>
  <c r="B3" i="15" l="1"/>
  <c r="C3" i="15" l="1"/>
  <c r="B20" i="15"/>
  <c r="C20" i="15" s="1"/>
  <c r="C21" i="15" s="1"/>
  <c r="C22" i="15" s="1"/>
  <c r="C23" i="15" s="1"/>
  <c r="C24" i="15" s="1"/>
  <c r="C25" i="15" s="1"/>
  <c r="C26" i="15" s="1"/>
  <c r="C27" i="15" s="1"/>
  <c r="B30" i="16"/>
  <c r="C4" i="15" l="1"/>
  <c r="C5" i="15" s="1"/>
  <c r="B57" i="16"/>
  <c r="C30" i="16"/>
  <c r="C31" i="16" s="1"/>
  <c r="B37" i="15"/>
  <c r="C37" i="15" s="1"/>
  <c r="C38" i="15" s="1"/>
  <c r="C39" i="15" s="1"/>
  <c r="C40" i="15" s="1"/>
  <c r="C41" i="15" s="1"/>
  <c r="C42" i="15" s="1"/>
  <c r="C43" i="15" s="1"/>
  <c r="B57" i="8"/>
  <c r="B2" i="15" s="1"/>
  <c r="N2" i="15" s="1"/>
  <c r="N3" i="15" s="1"/>
  <c r="N4" i="15" s="1"/>
  <c r="N5" i="15" s="1"/>
  <c r="N6" i="15" s="1"/>
  <c r="N7" i="15" s="1"/>
  <c r="N8" i="15" s="1"/>
  <c r="N9" i="15" s="1"/>
  <c r="N10" i="15" s="1"/>
  <c r="C3" i="16"/>
  <c r="J2" i="16"/>
  <c r="C6" i="15" l="1"/>
  <c r="C7" i="15" s="1"/>
  <c r="C8" i="15" s="1"/>
  <c r="C9" i="15" s="1"/>
  <c r="C10" i="15" s="1"/>
  <c r="C11" i="15" s="1"/>
  <c r="C4" i="16"/>
  <c r="C5" i="16" s="1"/>
  <c r="C6" i="16" s="1"/>
  <c r="C7" i="16" s="1"/>
  <c r="C8" i="16" s="1"/>
  <c r="C9" i="16" s="1"/>
  <c r="C10" i="16" s="1"/>
  <c r="C11" i="16" s="1"/>
  <c r="C12" i="16" s="1"/>
  <c r="C13" i="16" s="1"/>
  <c r="C14" i="16" s="1"/>
  <c r="C15" i="16" s="1"/>
  <c r="C16" i="16" s="1"/>
  <c r="C17" i="16" s="1"/>
  <c r="C18" i="16" s="1"/>
  <c r="C19" i="16" s="1"/>
  <c r="C20" i="16" s="1"/>
  <c r="C21" i="16" s="1"/>
  <c r="C22" i="16" s="1"/>
  <c r="B19" i="15"/>
  <c r="F19" i="15" s="1"/>
  <c r="J3" i="15" s="1"/>
  <c r="C2" i="15"/>
  <c r="F2" i="15"/>
  <c r="J2" i="15" s="1"/>
  <c r="C2" i="16"/>
  <c r="B29" i="16"/>
  <c r="C32" i="16"/>
  <c r="C33" i="16" s="1"/>
  <c r="C34" i="16" s="1"/>
  <c r="C35" i="16" s="1"/>
  <c r="C36" i="16" s="1"/>
  <c r="C37" i="16" s="1"/>
  <c r="C38" i="16" s="1"/>
  <c r="C39" i="16" s="1"/>
  <c r="C40" i="16" s="1"/>
  <c r="C41" i="16" s="1"/>
  <c r="C42" i="16" s="1"/>
  <c r="C43" i="16" s="1"/>
  <c r="C44" i="16" s="1"/>
  <c r="C45" i="16" s="1"/>
  <c r="C46" i="16" s="1"/>
  <c r="C47" i="16" s="1"/>
  <c r="C48" i="16" s="1"/>
  <c r="C49" i="16" s="1"/>
  <c r="C57" i="16"/>
  <c r="C58" i="16" s="1"/>
  <c r="B84" i="16"/>
  <c r="B54" i="15"/>
  <c r="C54" i="15" s="1"/>
  <c r="C55" i="15" s="1"/>
  <c r="C56" i="15" s="1"/>
  <c r="C57" i="15" s="1"/>
  <c r="C58" i="15" s="1"/>
  <c r="C59" i="15" s="1"/>
  <c r="J9" i="16"/>
  <c r="J8" i="16"/>
  <c r="J3" i="16"/>
  <c r="J6" i="16"/>
  <c r="J4" i="16"/>
  <c r="J7" i="16"/>
  <c r="J5" i="16"/>
  <c r="E2" i="16" l="1"/>
  <c r="D6" i="17"/>
  <c r="J13" i="17" s="1"/>
  <c r="F13" i="17" s="1"/>
  <c r="C14" i="15"/>
  <c r="C16" i="15" s="1"/>
  <c r="D2" i="16"/>
  <c r="K2" i="16" s="1"/>
  <c r="C52" i="16"/>
  <c r="B36" i="15"/>
  <c r="C36" i="15" s="1"/>
  <c r="C19" i="15"/>
  <c r="D19" i="15" s="1"/>
  <c r="C25" i="16"/>
  <c r="D25" i="16" s="1"/>
  <c r="D2" i="15"/>
  <c r="I2" i="15" s="1"/>
  <c r="K2" i="15"/>
  <c r="C84" i="16"/>
  <c r="C85" i="16" s="1"/>
  <c r="B111" i="16"/>
  <c r="C59" i="16"/>
  <c r="C60" i="16" s="1"/>
  <c r="C61" i="16" s="1"/>
  <c r="C62" i="16" s="1"/>
  <c r="C63" i="16" s="1"/>
  <c r="C64" i="16" s="1"/>
  <c r="C65" i="16" s="1"/>
  <c r="C66" i="16" s="1"/>
  <c r="C67" i="16" s="1"/>
  <c r="C68" i="16" s="1"/>
  <c r="C69" i="16" s="1"/>
  <c r="C70" i="16" s="1"/>
  <c r="C71" i="16" s="1"/>
  <c r="C72" i="16" s="1"/>
  <c r="C73" i="16" s="1"/>
  <c r="C74" i="16" s="1"/>
  <c r="C75" i="16" s="1"/>
  <c r="C76" i="16" s="1"/>
  <c r="L3" i="16"/>
  <c r="D52" i="16"/>
  <c r="B56" i="16"/>
  <c r="E29" i="16"/>
  <c r="I3" i="16" s="1"/>
  <c r="C29" i="16"/>
  <c r="D29" i="16" s="1"/>
  <c r="K3" i="16" s="1"/>
  <c r="C65" i="15"/>
  <c r="K5" i="15" s="1"/>
  <c r="B71" i="15"/>
  <c r="C71" i="15" s="1"/>
  <c r="C72" i="15" s="1"/>
  <c r="C73" i="15" s="1"/>
  <c r="C74" i="15" s="1"/>
  <c r="C75" i="15" s="1"/>
  <c r="C31" i="15"/>
  <c r="K3" i="15" s="1"/>
  <c r="B53" i="15"/>
  <c r="F36" i="15"/>
  <c r="J4" i="15" s="1"/>
  <c r="C26" i="16" l="1"/>
  <c r="L2" i="16"/>
  <c r="I2" i="16"/>
  <c r="D8" i="17"/>
  <c r="J15" i="17" s="1"/>
  <c r="F15" i="17" s="1"/>
  <c r="C15" i="15"/>
  <c r="E2" i="15"/>
  <c r="C48" i="15"/>
  <c r="K4" i="15" s="1"/>
  <c r="C79" i="16"/>
  <c r="C86" i="16"/>
  <c r="C87" i="16" s="1"/>
  <c r="C88" i="16" s="1"/>
  <c r="C89" i="16" s="1"/>
  <c r="C90" i="16" s="1"/>
  <c r="C91" i="16" s="1"/>
  <c r="C92" i="16" s="1"/>
  <c r="C93" i="16" s="1"/>
  <c r="C94" i="16" s="1"/>
  <c r="C95" i="16" s="1"/>
  <c r="C96" i="16" s="1"/>
  <c r="C97" i="16" s="1"/>
  <c r="C98" i="16" s="1"/>
  <c r="C99" i="16" s="1"/>
  <c r="C100" i="16" s="1"/>
  <c r="C101" i="16" s="1"/>
  <c r="C102" i="16" s="1"/>
  <c r="C103" i="16" s="1"/>
  <c r="E56" i="16"/>
  <c r="I4" i="16" s="1"/>
  <c r="B83" i="16"/>
  <c r="C56" i="16"/>
  <c r="D56" i="16" s="1"/>
  <c r="K4" i="16" s="1"/>
  <c r="C53" i="16"/>
  <c r="L4" i="16"/>
  <c r="D79" i="16"/>
  <c r="D36" i="15"/>
  <c r="E36" i="15" s="1"/>
  <c r="C111" i="16"/>
  <c r="C112" i="16" s="1"/>
  <c r="B138" i="16"/>
  <c r="C33" i="15"/>
  <c r="C32" i="15"/>
  <c r="B88" i="15"/>
  <c r="C88" i="15" s="1"/>
  <c r="C89" i="15" s="1"/>
  <c r="C90" i="15" s="1"/>
  <c r="C91" i="15" s="1"/>
  <c r="C53" i="15"/>
  <c r="D53" i="15" s="1"/>
  <c r="F53" i="15"/>
  <c r="J5" i="15" s="1"/>
  <c r="B70" i="15"/>
  <c r="I3" i="15"/>
  <c r="E19" i="15"/>
  <c r="C50" i="15"/>
  <c r="C49" i="15"/>
  <c r="C67" i="15"/>
  <c r="C80" i="16" l="1"/>
  <c r="C106" i="16"/>
  <c r="L5" i="16" s="1"/>
  <c r="I4" i="15"/>
  <c r="C138" i="16"/>
  <c r="C139" i="16" s="1"/>
  <c r="B165" i="16"/>
  <c r="C113" i="16"/>
  <c r="C114" i="16" s="1"/>
  <c r="C115" i="16" s="1"/>
  <c r="C116" i="16" s="1"/>
  <c r="C117" i="16" s="1"/>
  <c r="C118" i="16" s="1"/>
  <c r="C119" i="16" s="1"/>
  <c r="C120" i="16" s="1"/>
  <c r="C121" i="16" s="1"/>
  <c r="C122" i="16" s="1"/>
  <c r="C123" i="16" s="1"/>
  <c r="C124" i="16" s="1"/>
  <c r="C125" i="16" s="1"/>
  <c r="C126" i="16" s="1"/>
  <c r="C127" i="16" s="1"/>
  <c r="C128" i="16" s="1"/>
  <c r="C129" i="16" s="1"/>
  <c r="C130" i="16" s="1"/>
  <c r="C83" i="16"/>
  <c r="D83" i="16" s="1"/>
  <c r="K5" i="16" s="1"/>
  <c r="B110" i="16"/>
  <c r="E83" i="16"/>
  <c r="I5" i="16" s="1"/>
  <c r="C66" i="15"/>
  <c r="C70" i="15"/>
  <c r="F70" i="15"/>
  <c r="J6" i="15" s="1"/>
  <c r="B87" i="15"/>
  <c r="I5" i="15"/>
  <c r="E53" i="15"/>
  <c r="C78" i="15"/>
  <c r="C79" i="15" s="1"/>
  <c r="C82" i="15"/>
  <c r="K6" i="15" s="1"/>
  <c r="C133" i="16" l="1"/>
  <c r="L6" i="16" s="1"/>
  <c r="D106" i="16"/>
  <c r="C107" i="16"/>
  <c r="C99" i="15"/>
  <c r="K7" i="15" s="1"/>
  <c r="E110" i="16"/>
  <c r="I6" i="16" s="1"/>
  <c r="B137" i="16"/>
  <c r="C110" i="16"/>
  <c r="D110" i="16" s="1"/>
  <c r="K6" i="16" s="1"/>
  <c r="C165" i="16"/>
  <c r="C166" i="16" s="1"/>
  <c r="B192" i="16"/>
  <c r="C192" i="16" s="1"/>
  <c r="C193" i="16" s="1"/>
  <c r="C140" i="16"/>
  <c r="C141" i="16" s="1"/>
  <c r="C142" i="16" s="1"/>
  <c r="C143" i="16" s="1"/>
  <c r="C144" i="16" s="1"/>
  <c r="C145" i="16" s="1"/>
  <c r="C146" i="16" s="1"/>
  <c r="C147" i="16" s="1"/>
  <c r="C148" i="16" s="1"/>
  <c r="C149" i="16" s="1"/>
  <c r="C150" i="16" s="1"/>
  <c r="C151" i="16" s="1"/>
  <c r="C152" i="16" s="1"/>
  <c r="C153" i="16" s="1"/>
  <c r="C154" i="16" s="1"/>
  <c r="C155" i="16" s="1"/>
  <c r="C156" i="16" s="1"/>
  <c r="C157" i="16" s="1"/>
  <c r="C84" i="15"/>
  <c r="C83" i="15"/>
  <c r="C101" i="15"/>
  <c r="C87" i="15"/>
  <c r="D87" i="15" s="1"/>
  <c r="F87" i="15"/>
  <c r="J7" i="15" s="1"/>
  <c r="D70" i="15"/>
  <c r="C134" i="16" l="1"/>
  <c r="D133" i="16"/>
  <c r="C160" i="16"/>
  <c r="L7" i="16" s="1"/>
  <c r="B164" i="16"/>
  <c r="C137" i="16"/>
  <c r="D137" i="16" s="1"/>
  <c r="K7" i="16" s="1"/>
  <c r="E137" i="16"/>
  <c r="I7" i="16" s="1"/>
  <c r="C194" i="16"/>
  <c r="C195" i="16" s="1"/>
  <c r="C196" i="16" s="1"/>
  <c r="C197" i="16" s="1"/>
  <c r="C198" i="16" s="1"/>
  <c r="C199" i="16" s="1"/>
  <c r="C200" i="16" s="1"/>
  <c r="C201" i="16" s="1"/>
  <c r="C202" i="16" s="1"/>
  <c r="C203" i="16" s="1"/>
  <c r="C204" i="16" s="1"/>
  <c r="C205" i="16" s="1"/>
  <c r="C206" i="16" s="1"/>
  <c r="C207" i="16" s="1"/>
  <c r="C208" i="16" s="1"/>
  <c r="C209" i="16" s="1"/>
  <c r="C210" i="16" s="1"/>
  <c r="C211" i="16" s="1"/>
  <c r="C167" i="16"/>
  <c r="C168" i="16" s="1"/>
  <c r="C169" i="16" s="1"/>
  <c r="C170" i="16" s="1"/>
  <c r="C171" i="16" s="1"/>
  <c r="C172" i="16" s="1"/>
  <c r="C173" i="16" s="1"/>
  <c r="C174" i="16" s="1"/>
  <c r="C175" i="16" s="1"/>
  <c r="C176" i="16" s="1"/>
  <c r="C177" i="16" s="1"/>
  <c r="C178" i="16" s="1"/>
  <c r="C179" i="16" s="1"/>
  <c r="C180" i="16" s="1"/>
  <c r="C181" i="16" s="1"/>
  <c r="C182" i="16" s="1"/>
  <c r="C183" i="16" s="1"/>
  <c r="C184" i="16" s="1"/>
  <c r="E70" i="15"/>
  <c r="I6" i="15"/>
  <c r="D12" i="17" s="1"/>
  <c r="J19" i="17" s="1"/>
  <c r="F19" i="17" s="1"/>
  <c r="E87" i="15"/>
  <c r="I7" i="15"/>
  <c r="C100" i="15"/>
  <c r="D160" i="16" l="1"/>
  <c r="C187" i="16"/>
  <c r="L8" i="16" s="1"/>
  <c r="C214" i="16"/>
  <c r="L9" i="16" s="1"/>
  <c r="D9" i="17" s="1"/>
  <c r="J16" i="17" s="1"/>
  <c r="F16" i="17" s="1"/>
  <c r="D187" i="16"/>
  <c r="C161" i="16"/>
  <c r="C164" i="16"/>
  <c r="D164" i="16" s="1"/>
  <c r="K8" i="16" s="1"/>
  <c r="B191" i="16"/>
  <c r="E164" i="16"/>
  <c r="I8" i="16" s="1"/>
  <c r="D214" i="16" l="1"/>
  <c r="C188" i="16"/>
  <c r="E191" i="16"/>
  <c r="I9" i="16" s="1"/>
  <c r="C191" i="16"/>
  <c r="D191" i="16" l="1"/>
  <c r="K9" i="16" s="1"/>
  <c r="D10" i="17" s="1"/>
  <c r="J17" i="17" s="1"/>
  <c r="F17" i="17" s="1"/>
  <c r="C215" i="16"/>
</calcChain>
</file>

<file path=xl/sharedStrings.xml><?xml version="1.0" encoding="utf-8"?>
<sst xmlns="http://schemas.openxmlformats.org/spreadsheetml/2006/main" count="534" uniqueCount="251">
  <si>
    <t>MC4</t>
    <phoneticPr fontId="1" type="noConversion"/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</si>
  <si>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</si>
  <si>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</si>
  <si>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</si>
  <si>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</si>
  <si>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</si>
  <si>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</si>
  <si>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</si>
  <si>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</si>
  <si>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</si>
  <si>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</si>
  <si>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</si>
  <si>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/>
  </si>
  <si>
    <t>jan</t>
    <phoneticPr fontId="4" type="noConversion"/>
  </si>
  <si>
    <t>Sum</t>
  </si>
  <si>
    <t>23 - 24</t>
  </si>
  <si>
    <t>22 - 23</t>
  </si>
  <si>
    <t>21 - 22</t>
  </si>
  <si>
    <t>20 - 21</t>
  </si>
  <si>
    <t>19 - 20</t>
  </si>
  <si>
    <t>18 - 19</t>
  </si>
  <si>
    <t>17 - 18</t>
  </si>
  <si>
    <t>16 - 17</t>
  </si>
  <si>
    <t>15 - 16</t>
  </si>
  <si>
    <t>14 - 15</t>
  </si>
  <si>
    <t>13 - 14</t>
  </si>
  <si>
    <t>12 - 13</t>
  </si>
  <si>
    <t>11 - 12</t>
  </si>
  <si>
    <t>10 - 11</t>
  </si>
  <si>
    <t>9 - 10</t>
  </si>
  <si>
    <t>8 - 9</t>
  </si>
  <si>
    <t>7 - 8</t>
  </si>
  <si>
    <t>6 - 7</t>
  </si>
  <si>
    <t>5 - 6</t>
  </si>
  <si>
    <t>4 - 5</t>
  </si>
  <si>
    <t>3 - 4</t>
  </si>
  <si>
    <t>2 - 3</t>
  </si>
  <si>
    <t>1 - 2</t>
  </si>
  <si>
    <t>0 - 1</t>
  </si>
  <si>
    <t>Jan</t>
  </si>
  <si>
    <t>avg</t>
    <phoneticPr fontId="4" type="noConversion"/>
  </si>
  <si>
    <t>VAT RATES</t>
    <phoneticPr fontId="4" type="noConversion"/>
  </si>
  <si>
    <t>Fit-All (Renewable)</t>
  </si>
  <si>
    <t>UC-SD</t>
  </si>
  <si>
    <t>UC-EC1</t>
  </si>
  <si>
    <t>UC-ME for (RED-CI)</t>
  </si>
  <si>
    <t>UC-ME for 15 (NPC-SPUG)</t>
  </si>
  <si>
    <t>Current RPT Charge</t>
  </si>
  <si>
    <t>Metering
percut</t>
    <phoneticPr fontId="4" type="noConversion"/>
  </si>
  <si>
    <t>Metering Charge</t>
    <phoneticPr fontId="4" type="noConversion"/>
  </si>
  <si>
    <t>Supply Charge4</t>
  </si>
  <si>
    <t>Distribution Charge
perkw</t>
    <phoneticPr fontId="4" type="noConversion"/>
  </si>
  <si>
    <t>Distribution Charge</t>
    <phoneticPr fontId="4" type="noConversion"/>
  </si>
  <si>
    <t>System Loss Charge</t>
  </si>
  <si>
    <t>Transmission Charge perkw</t>
    <phoneticPr fontId="4" type="noConversion"/>
  </si>
  <si>
    <t>Generation Charge</t>
  </si>
  <si>
    <t>total
piso</t>
    <phoneticPr fontId="4" type="noConversion"/>
  </si>
  <si>
    <t>Description</t>
  </si>
  <si>
    <t>Shipping &amp; Handling</t>
  </si>
  <si>
    <t>Solar Inverter</t>
    <phoneticPr fontId="1" type="noConversion"/>
  </si>
  <si>
    <t>PV Modules</t>
    <phoneticPr fontId="1" type="noConversion"/>
  </si>
  <si>
    <t>Mounting Structure</t>
    <phoneticPr fontId="1" type="noConversion"/>
  </si>
  <si>
    <t>MC4 Connectors</t>
    <phoneticPr fontId="1" type="noConversion"/>
  </si>
  <si>
    <t>Rapid Shutdown Device (RSD)</t>
    <phoneticPr fontId="1" type="noConversion"/>
  </si>
  <si>
    <t>DC Cables</t>
    <phoneticPr fontId="1" type="noConversion"/>
  </si>
  <si>
    <t>AC Cables</t>
    <phoneticPr fontId="1" type="noConversion"/>
  </si>
  <si>
    <t>SmartControl Box</t>
    <phoneticPr fontId="1" type="noConversion"/>
  </si>
  <si>
    <t>AC Distribution Box</t>
    <phoneticPr fontId="1" type="noConversion"/>
  </si>
  <si>
    <t>DC Distribution Box</t>
    <phoneticPr fontId="1" type="noConversion"/>
  </si>
  <si>
    <t>On-site Construction</t>
    <phoneticPr fontId="1" type="noConversion"/>
  </si>
  <si>
    <t>Unit</t>
  </si>
  <si>
    <t>Total Price</t>
  </si>
  <si>
    <t>Set</t>
  </si>
  <si>
    <t>pcs</t>
  </si>
  <si>
    <t>Pair</t>
  </si>
  <si>
    <t>m</t>
  </si>
  <si>
    <t>Lot</t>
  </si>
  <si>
    <t xml:space="preserve">Grid </t>
    <phoneticPr fontId="1" type="noConversion"/>
  </si>
  <si>
    <t>other</t>
    <phoneticPr fontId="1" type="noConversion"/>
  </si>
  <si>
    <t>Quantity</t>
  </si>
  <si>
    <t>Equipment Cost</t>
  </si>
  <si>
    <t>Logistics Cost / Freight Cost</t>
  </si>
  <si>
    <t>Construction &amp; Consumables Cost</t>
  </si>
  <si>
    <t>Grid Connection Cost</t>
  </si>
  <si>
    <t>Total Cost</t>
  </si>
  <si>
    <t>ID.</t>
    <phoneticPr fontId="1" type="noConversion"/>
  </si>
  <si>
    <t>Net Cashflow</t>
  </si>
  <si>
    <t>Total Cash Inflow</t>
  </si>
  <si>
    <t>Residual</t>
  </si>
  <si>
    <t>组件年衰减率</t>
  </si>
  <si>
    <t>Pay Back Period</t>
  </si>
  <si>
    <t>IRR PA</t>
  </si>
  <si>
    <t>Cashflow</t>
  </si>
  <si>
    <t>Investment/Electricty Bill Income</t>
  </si>
  <si>
    <t>Lease Period</t>
  </si>
  <si>
    <t>Discount 30%</t>
  </si>
  <si>
    <t>Investment/Bill Income</t>
  </si>
  <si>
    <r>
      <rPr>
        <b/>
        <sz val="10"/>
        <color theme="1"/>
        <rFont val="宋体"/>
        <family val="3"/>
        <charset val="134"/>
      </rPr>
      <t>汇率</t>
    </r>
    <phoneticPr fontId="1" type="noConversion"/>
  </si>
  <si>
    <r>
      <rPr>
        <sz val="10"/>
        <color rgb="FF000000"/>
        <rFont val="宋体"/>
        <family val="3"/>
        <charset val="134"/>
      </rPr>
      <t>序号</t>
    </r>
  </si>
  <si>
    <r>
      <rPr>
        <sz val="10"/>
        <color rgb="FF000000"/>
        <rFont val="宋体"/>
        <family val="3"/>
        <charset val="134"/>
      </rPr>
      <t>设备名称</t>
    </r>
  </si>
  <si>
    <r>
      <rPr>
        <sz val="10"/>
        <color rgb="FF000000"/>
        <rFont val="宋体"/>
        <family val="3"/>
        <charset val="134"/>
      </rPr>
      <t>数量</t>
    </r>
  </si>
  <si>
    <r>
      <rPr>
        <sz val="10"/>
        <color rgb="FF000000"/>
        <rFont val="宋体"/>
        <family val="3"/>
        <charset val="134"/>
      </rPr>
      <t xml:space="preserve">单价
</t>
    </r>
    <r>
      <rPr>
        <sz val="10"/>
        <color rgb="FF000000"/>
        <rFont val="Times New Roman"/>
        <family val="1"/>
      </rPr>
      <t>Unit Price</t>
    </r>
    <phoneticPr fontId="1" type="noConversion"/>
  </si>
  <si>
    <r>
      <rPr>
        <sz val="10"/>
        <color rgb="FF000000"/>
        <rFont val="宋体"/>
        <family val="3"/>
        <charset val="134"/>
      </rPr>
      <t>单位</t>
    </r>
  </si>
  <si>
    <r>
      <rPr>
        <sz val="10"/>
        <color rgb="FF000000"/>
        <rFont val="宋体"/>
        <family val="3"/>
        <charset val="134"/>
      </rPr>
      <t>总价</t>
    </r>
  </si>
  <si>
    <r>
      <rPr>
        <sz val="10"/>
        <color rgb="FF000000"/>
        <rFont val="宋体"/>
        <family val="3"/>
        <charset val="134"/>
      </rPr>
      <t>备注</t>
    </r>
  </si>
  <si>
    <r>
      <rPr>
        <sz val="10"/>
        <color rgb="FF000000"/>
        <rFont val="宋体"/>
        <family val="3"/>
        <charset val="134"/>
      </rPr>
      <t>台</t>
    </r>
    <phoneticPr fontId="1" type="noConversion"/>
  </si>
  <si>
    <r>
      <rPr>
        <sz val="10"/>
        <color rgb="FF000000"/>
        <rFont val="宋体"/>
        <family val="3"/>
        <charset val="134"/>
      </rPr>
      <t>光伏组件</t>
    </r>
    <phoneticPr fontId="1" type="noConversion"/>
  </si>
  <si>
    <r>
      <rPr>
        <sz val="10"/>
        <color rgb="FF000000"/>
        <rFont val="宋体"/>
        <family val="3"/>
        <charset val="134"/>
      </rPr>
      <t>片</t>
    </r>
    <phoneticPr fontId="1" type="noConversion"/>
  </si>
  <si>
    <r>
      <rPr>
        <sz val="10"/>
        <color rgb="FF000000"/>
        <rFont val="宋体"/>
        <family val="3"/>
        <charset val="134"/>
      </rPr>
      <t>光伏支架</t>
    </r>
    <phoneticPr fontId="1" type="noConversion"/>
  </si>
  <si>
    <r>
      <rPr>
        <sz val="10"/>
        <color rgb="FF000000"/>
        <rFont val="宋体"/>
        <family val="3"/>
        <charset val="134"/>
      </rPr>
      <t>套</t>
    </r>
    <phoneticPr fontId="1" type="noConversion"/>
  </si>
  <si>
    <r>
      <rPr>
        <sz val="10"/>
        <color rgb="FF000000"/>
        <rFont val="宋体"/>
        <family val="3"/>
        <charset val="134"/>
      </rPr>
      <t>个</t>
    </r>
    <phoneticPr fontId="1" type="noConversion"/>
  </si>
  <si>
    <r>
      <rPr>
        <sz val="10"/>
        <color rgb="FF000000"/>
        <rFont val="宋体"/>
        <family val="3"/>
        <charset val="134"/>
      </rPr>
      <t>直流线缆</t>
    </r>
    <phoneticPr fontId="1" type="noConversion"/>
  </si>
  <si>
    <r>
      <rPr>
        <sz val="10"/>
        <color rgb="FF000000"/>
        <rFont val="宋体"/>
        <family val="3"/>
        <charset val="134"/>
      </rPr>
      <t>米</t>
    </r>
    <phoneticPr fontId="1" type="noConversion"/>
  </si>
  <si>
    <r>
      <rPr>
        <sz val="10"/>
        <color rgb="FF000000"/>
        <rFont val="宋体"/>
        <family val="3"/>
        <charset val="134"/>
      </rPr>
      <t>交流电缆</t>
    </r>
    <phoneticPr fontId="1" type="noConversion"/>
  </si>
  <si>
    <r>
      <rPr>
        <sz val="10"/>
        <color rgb="FF000000"/>
        <rFont val="宋体"/>
        <family val="3"/>
        <charset val="134"/>
      </rPr>
      <t>防逆流表</t>
    </r>
    <r>
      <rPr>
        <sz val="10"/>
        <color rgb="FF000000"/>
        <rFont val="Times New Roman"/>
        <family val="1"/>
      </rPr>
      <t>&amp;</t>
    </r>
    <r>
      <rPr>
        <sz val="10"/>
        <color rgb="FF000000"/>
        <rFont val="宋体"/>
        <family val="3"/>
        <charset val="134"/>
      </rPr>
      <t>互感器</t>
    </r>
    <phoneticPr fontId="1" type="noConversion"/>
  </si>
  <si>
    <r>
      <rPr>
        <sz val="10"/>
        <color rgb="FF000000"/>
        <rFont val="宋体"/>
        <family val="3"/>
        <charset val="134"/>
      </rPr>
      <t>台</t>
    </r>
  </si>
  <si>
    <r>
      <t xml:space="preserve">SmartControl </t>
    </r>
    <r>
      <rPr>
        <sz val="10"/>
        <color rgb="FF000000"/>
        <rFont val="宋体"/>
        <family val="3"/>
        <charset val="134"/>
      </rPr>
      <t>箱</t>
    </r>
    <phoneticPr fontId="1" type="noConversion"/>
  </si>
  <si>
    <r>
      <t xml:space="preserve">AC </t>
    </r>
    <r>
      <rPr>
        <sz val="10"/>
        <color rgb="FF000000"/>
        <rFont val="宋体"/>
        <family val="3"/>
        <charset val="134"/>
      </rPr>
      <t>配电箱</t>
    </r>
    <phoneticPr fontId="1" type="noConversion"/>
  </si>
  <si>
    <r>
      <t xml:space="preserve">DC </t>
    </r>
    <r>
      <rPr>
        <sz val="10"/>
        <color rgb="FF000000"/>
        <rFont val="宋体"/>
        <family val="3"/>
        <charset val="134"/>
      </rPr>
      <t>配电箱</t>
    </r>
    <phoneticPr fontId="1" type="noConversion"/>
  </si>
  <si>
    <r>
      <rPr>
        <sz val="10"/>
        <color rgb="FF000000"/>
        <rFont val="宋体"/>
        <family val="3"/>
        <charset val="134"/>
      </rPr>
      <t>施工费</t>
    </r>
    <phoneticPr fontId="1" type="noConversion"/>
  </si>
  <si>
    <r>
      <rPr>
        <sz val="10"/>
        <color rgb="FF000000"/>
        <rFont val="宋体"/>
        <family val="3"/>
        <charset val="134"/>
      </rPr>
      <t>电网接入费用</t>
    </r>
    <phoneticPr fontId="1" type="noConversion"/>
  </si>
  <si>
    <r>
      <rPr>
        <sz val="10"/>
        <color rgb="FF000000"/>
        <rFont val="宋体"/>
        <family val="3"/>
        <charset val="134"/>
      </rPr>
      <t>其他费用</t>
    </r>
    <phoneticPr fontId="1" type="noConversion"/>
  </si>
  <si>
    <r>
      <rPr>
        <sz val="10"/>
        <color rgb="FF000000"/>
        <rFont val="宋体"/>
        <family val="1"/>
        <charset val="134"/>
      </rPr>
      <t>设备成本</t>
    </r>
    <phoneticPr fontId="4" type="noConversion"/>
  </si>
  <si>
    <r>
      <rPr>
        <sz val="10"/>
        <color rgb="FF000000"/>
        <rFont val="宋体"/>
        <family val="1"/>
        <charset val="134"/>
      </rPr>
      <t>建设成本</t>
    </r>
    <r>
      <rPr>
        <sz val="10"/>
        <color rgb="FF000000"/>
        <rFont val="Times New Roman"/>
        <family val="1"/>
      </rPr>
      <t>&amp;</t>
    </r>
    <r>
      <rPr>
        <sz val="10"/>
        <color rgb="FF000000"/>
        <rFont val="宋体"/>
        <family val="1"/>
        <charset val="134"/>
      </rPr>
      <t>耗材</t>
    </r>
    <phoneticPr fontId="4" type="noConversion"/>
  </si>
  <si>
    <r>
      <rPr>
        <sz val="10"/>
        <color rgb="FF000000"/>
        <rFont val="宋体"/>
        <family val="1"/>
        <charset val="134"/>
      </rPr>
      <t>电网接入费用</t>
    </r>
    <phoneticPr fontId="4" type="noConversion"/>
  </si>
  <si>
    <r>
      <rPr>
        <sz val="10"/>
        <color rgb="FF000000"/>
        <rFont val="宋体"/>
        <family val="1"/>
        <charset val="134"/>
      </rPr>
      <t>总费用（成本）</t>
    </r>
    <phoneticPr fontId="4" type="noConversion"/>
  </si>
  <si>
    <r>
      <t>Anti-Reflux Smart Meter &amp; Current Transformer </t>
    </r>
    <r>
      <rPr>
        <sz val="10"/>
        <color rgb="FF000000"/>
        <rFont val="宋体"/>
        <family val="3"/>
        <charset val="134"/>
      </rPr>
      <t>（</t>
    </r>
    <r>
      <rPr>
        <sz val="10"/>
        <color rgb="FF000000"/>
        <rFont val="Times New Roman"/>
        <family val="1"/>
      </rPr>
      <t>CT)</t>
    </r>
    <phoneticPr fontId="1" type="noConversion"/>
  </si>
  <si>
    <r>
      <rPr>
        <sz val="10"/>
        <color theme="1"/>
        <rFont val="宋体"/>
        <family val="3"/>
        <charset val="134"/>
      </rPr>
      <t>成本</t>
    </r>
    <phoneticPr fontId="1" type="noConversion"/>
  </si>
  <si>
    <r>
      <t>20260320</t>
    </r>
    <r>
      <rPr>
        <sz val="10"/>
        <color theme="1"/>
        <rFont val="宋体"/>
        <family val="3"/>
        <charset val="134"/>
      </rPr>
      <t>汇率</t>
    </r>
    <phoneticPr fontId="1" type="noConversion"/>
  </si>
  <si>
    <t>Unit Price</t>
    <phoneticPr fontId="1" type="noConversion"/>
  </si>
  <si>
    <r>
      <rPr>
        <sz val="10"/>
        <color rgb="FF000000"/>
        <rFont val="宋体"/>
        <family val="1"/>
        <charset val="134"/>
      </rPr>
      <t>元/</t>
    </r>
    <r>
      <rPr>
        <sz val="10"/>
        <color rgb="FF000000"/>
        <rFont val="Times New Roman"/>
        <family val="1"/>
      </rPr>
      <t>Wp</t>
    </r>
    <phoneticPr fontId="1" type="noConversion"/>
  </si>
  <si>
    <r>
      <rPr>
        <sz val="10"/>
        <color rgb="FF000000"/>
        <rFont val="宋体"/>
        <family val="3"/>
        <charset val="134"/>
      </rPr>
      <t>汇率</t>
    </r>
    <phoneticPr fontId="4" type="noConversion"/>
  </si>
  <si>
    <r>
      <rPr>
        <sz val="10"/>
        <color rgb="FF000000"/>
        <rFont val="宋体"/>
        <family val="3"/>
        <charset val="134"/>
      </rPr>
      <t>需量</t>
    </r>
    <phoneticPr fontId="4" type="noConversion"/>
  </si>
  <si>
    <r>
      <rPr>
        <sz val="10"/>
        <color rgb="FF000000"/>
        <rFont val="宋体"/>
        <family val="3"/>
        <charset val="134"/>
      </rPr>
      <t>电量</t>
    </r>
    <phoneticPr fontId="4" type="noConversion"/>
  </si>
  <si>
    <r>
      <rPr>
        <sz val="10"/>
        <color rgb="FF000000"/>
        <rFont val="宋体"/>
        <family val="3"/>
        <charset val="134"/>
      </rPr>
      <t>工作日天数</t>
    </r>
    <phoneticPr fontId="4" type="noConversion"/>
  </si>
  <si>
    <r>
      <rPr>
        <sz val="10"/>
        <color rgb="FF000000"/>
        <rFont val="宋体"/>
        <family val="3"/>
        <charset val="134"/>
      </rPr>
      <t>假期天数</t>
    </r>
    <phoneticPr fontId="4" type="noConversion"/>
  </si>
  <si>
    <r>
      <rPr>
        <b/>
        <sz val="10"/>
        <color rgb="FF000000"/>
        <rFont val="宋体"/>
        <family val="3"/>
        <charset val="134"/>
      </rPr>
      <t>自投类</t>
    </r>
    <phoneticPr fontId="4" type="noConversion"/>
  </si>
  <si>
    <t>报价：逆变器加5%管理费，光伏组件20%毛利，其他按20%毛利，报关运费原价不增加</t>
    <phoneticPr fontId="1" type="noConversion"/>
  </si>
  <si>
    <r>
      <rPr>
        <sz val="11"/>
        <color indexed="8"/>
        <rFont val="宋体"/>
        <family val="3"/>
        <charset val="134"/>
      </rPr>
      <t>组件年衰减率</t>
    </r>
  </si>
  <si>
    <r>
      <rPr>
        <sz val="10"/>
        <color rgb="FF000000"/>
        <rFont val="宋体"/>
        <family val="3"/>
        <charset val="134"/>
      </rPr>
      <t>月收益（</t>
    </r>
    <r>
      <rPr>
        <sz val="10"/>
        <color rgb="FF000000"/>
        <rFont val="Times New Roman"/>
        <family val="1"/>
      </rPr>
      <t>PHP</t>
    </r>
    <r>
      <rPr>
        <sz val="10"/>
        <color rgb="FF000000"/>
        <rFont val="宋体"/>
        <family val="3"/>
        <charset val="134"/>
      </rPr>
      <t>）（取小）</t>
    </r>
    <phoneticPr fontId="4" type="noConversion"/>
  </si>
  <si>
    <r>
      <rPr>
        <sz val="10"/>
        <color rgb="FF000000"/>
        <rFont val="宋体"/>
        <family val="3"/>
        <charset val="134"/>
      </rPr>
      <t>月发电量</t>
    </r>
    <phoneticPr fontId="4" type="noConversion"/>
  </si>
  <si>
    <r>
      <rPr>
        <sz val="10"/>
        <color rgb="FF000000"/>
        <rFont val="宋体"/>
        <family val="3"/>
        <charset val="134"/>
      </rPr>
      <t>电费单月用电量</t>
    </r>
    <phoneticPr fontId="1" type="noConversion"/>
  </si>
  <si>
    <r>
      <rPr>
        <sz val="10"/>
        <color rgb="FF000000"/>
        <rFont val="宋体"/>
        <family val="1"/>
        <charset val="134"/>
      </rPr>
      <t>总投资（</t>
    </r>
    <r>
      <rPr>
        <sz val="10"/>
        <color rgb="FF000000"/>
        <rFont val="Times New Roman"/>
        <family val="1"/>
      </rPr>
      <t>PHP</t>
    </r>
    <r>
      <rPr>
        <sz val="10"/>
        <color rgb="FF000000"/>
        <rFont val="宋体"/>
        <family val="1"/>
        <charset val="134"/>
      </rPr>
      <t>）</t>
    </r>
    <phoneticPr fontId="4" type="noConversion"/>
  </si>
  <si>
    <r>
      <rPr>
        <sz val="10"/>
        <color rgb="FF000000"/>
        <rFont val="宋体"/>
        <family val="1"/>
        <charset val="134"/>
      </rPr>
      <t>首年总收益（</t>
    </r>
    <r>
      <rPr>
        <sz val="10"/>
        <color rgb="FF000000"/>
        <rFont val="Times New Roman"/>
        <family val="1"/>
      </rPr>
      <t>PHP</t>
    </r>
    <r>
      <rPr>
        <sz val="10"/>
        <color rgb="FF000000"/>
        <rFont val="宋体"/>
        <family val="1"/>
        <charset val="134"/>
      </rPr>
      <t>）</t>
    </r>
    <phoneticPr fontId="4" type="noConversion"/>
  </si>
  <si>
    <t>Jan</t>
    <phoneticPr fontId="4" type="noConversion"/>
  </si>
  <si>
    <t>Fist year cash</t>
    <phoneticPr fontId="1" type="noConversion"/>
  </si>
  <si>
    <t>Discount</t>
    <phoneticPr fontId="1" type="noConversion"/>
  </si>
  <si>
    <t>year</t>
    <phoneticPr fontId="1" type="noConversion"/>
  </si>
  <si>
    <t>IRR PA</t>
    <phoneticPr fontId="1" type="noConversion"/>
  </si>
  <si>
    <t>收益折扣</t>
    <phoneticPr fontId="1" type="noConversion"/>
  </si>
  <si>
    <t>首年衰减率</t>
    <phoneticPr fontId="1" type="noConversion"/>
  </si>
  <si>
    <t>首年衰减</t>
    <phoneticPr fontId="1" type="noConversion"/>
  </si>
  <si>
    <t>利润率</t>
    <phoneticPr fontId="1" type="noConversion"/>
  </si>
  <si>
    <r>
      <t>1</t>
    </r>
    <r>
      <rPr>
        <sz val="10"/>
        <color theme="1"/>
        <rFont val="宋体"/>
        <family val="3"/>
        <charset val="134"/>
      </rPr>
      <t>元</t>
    </r>
    <r>
      <rPr>
        <sz val="10"/>
        <color theme="1"/>
        <rFont val="Times New Roman"/>
        <family val="1"/>
      </rPr>
      <t>=8.76</t>
    </r>
    <r>
      <rPr>
        <sz val="10"/>
        <color theme="1"/>
        <rFont val="宋体"/>
        <family val="1"/>
        <charset val="134"/>
      </rPr>
      <t>比索</t>
    </r>
    <phoneticPr fontId="1" type="noConversion"/>
  </si>
  <si>
    <r>
      <rPr>
        <sz val="10"/>
        <color rgb="FF000000"/>
        <rFont val="宋体"/>
        <family val="3"/>
        <charset val="134"/>
      </rPr>
      <t>组串</t>
    </r>
    <r>
      <rPr>
        <sz val="10"/>
        <color rgb="FF000000"/>
        <rFont val="Times New Roman"/>
        <family val="3"/>
      </rPr>
      <t>RSD</t>
    </r>
    <r>
      <rPr>
        <sz val="10"/>
        <color rgb="FF000000"/>
        <rFont val="微软雅黑"/>
        <family val="3"/>
        <charset val="134"/>
      </rPr>
      <t>连接器</t>
    </r>
    <r>
      <rPr>
        <sz val="10"/>
        <color rgb="FF000000"/>
        <rFont val="Times New Roman"/>
        <family val="3"/>
        <charset val="134"/>
      </rPr>
      <t>,PEFS-EL40H-20-P2,</t>
    </r>
    <r>
      <rPr>
        <sz val="10"/>
        <color rgb="FF000000"/>
        <rFont val="微软雅黑"/>
        <family val="3"/>
        <charset val="134"/>
      </rPr>
      <t>接</t>
    </r>
    <r>
      <rPr>
        <sz val="10"/>
        <color rgb="FF000000"/>
        <rFont val="Times New Roman"/>
        <family val="3"/>
        <charset val="134"/>
      </rPr>
      <t>10</t>
    </r>
    <r>
      <rPr>
        <sz val="10"/>
        <color rgb="FF000000"/>
        <rFont val="微软雅黑"/>
        <family val="3"/>
        <charset val="134"/>
      </rPr>
      <t>串</t>
    </r>
    <phoneticPr fontId="1" type="noConversion"/>
  </si>
  <si>
    <r>
      <t xml:space="preserve">RSD </t>
    </r>
    <r>
      <rPr>
        <sz val="10"/>
        <color rgb="FF000000"/>
        <rFont val="宋体"/>
        <family val="1"/>
        <charset val="134"/>
      </rPr>
      <t>紧急旋钮</t>
    </r>
    <phoneticPr fontId="1" type="noConversion"/>
  </si>
  <si>
    <t>组件数</t>
    <phoneticPr fontId="1" type="noConversion"/>
  </si>
  <si>
    <t>组串数</t>
    <phoneticPr fontId="1" type="noConversion"/>
  </si>
  <si>
    <r>
      <rPr>
        <sz val="10"/>
        <color rgb="FF000000"/>
        <rFont val="宋体"/>
        <family val="3"/>
        <charset val="134"/>
      </rPr>
      <t>报关、运输海运费</t>
    </r>
    <phoneticPr fontId="1" type="noConversion"/>
  </si>
  <si>
    <t>系统调试人员费用</t>
    <phoneticPr fontId="1" type="noConversion"/>
  </si>
  <si>
    <t>人天</t>
    <phoneticPr fontId="1" type="noConversion"/>
  </si>
  <si>
    <r>
      <rPr>
        <sz val="10"/>
        <color rgb="FF000000"/>
        <rFont val="宋体"/>
        <family val="1"/>
        <charset val="134"/>
      </rPr>
      <t>报关、物流费</t>
    </r>
    <phoneticPr fontId="4" type="noConversion"/>
  </si>
  <si>
    <t>系统调试人员费用</t>
    <phoneticPr fontId="4" type="noConversion"/>
  </si>
  <si>
    <t>RSD emergency stop button</t>
  </si>
  <si>
    <t>System commissioning cost</t>
    <phoneticPr fontId="1" type="noConversion"/>
  </si>
  <si>
    <r>
      <rPr>
        <sz val="10"/>
        <color rgb="FF000000"/>
        <rFont val="宋体"/>
        <family val="3"/>
        <charset val="134"/>
      </rPr>
      <t>逆变器</t>
    </r>
    <r>
      <rPr>
        <sz val="10"/>
        <color rgb="FF000000"/>
        <rFont val="Times New Roman"/>
        <family val="1"/>
      </rPr>
      <t xml:space="preserve"> 50k 220</t>
    </r>
    <phoneticPr fontId="1" type="noConversion"/>
  </si>
  <si>
    <t>中文</t>
    <phoneticPr fontId="1" type="noConversion"/>
  </si>
  <si>
    <t>字段</t>
    <phoneticPr fontId="1" type="noConversion"/>
  </si>
  <si>
    <t>数字</t>
    <phoneticPr fontId="1" type="noConversion"/>
  </si>
  <si>
    <t>装机容量</t>
    <phoneticPr fontId="1" type="noConversion"/>
  </si>
  <si>
    <t>{{capacity}}</t>
    <phoneticPr fontId="1" type="noConversion"/>
  </si>
  <si>
    <t>等效小时数</t>
    <phoneticPr fontId="1" type="noConversion"/>
  </si>
  <si>
    <t>{{flh}}</t>
    <phoneticPr fontId="1" type="noConversion"/>
  </si>
  <si>
    <t>GHI</t>
    <phoneticPr fontId="1" type="noConversion"/>
  </si>
  <si>
    <t>{{ghi}}</t>
    <phoneticPr fontId="1" type="noConversion"/>
  </si>
  <si>
    <t>面积</t>
    <phoneticPr fontId="1" type="noConversion"/>
  </si>
  <si>
    <t>{{roof_area}}</t>
    <phoneticPr fontId="1" type="noConversion"/>
  </si>
  <si>
    <t>逆变器数量</t>
    <phoneticPr fontId="1" type="noConversion"/>
  </si>
  <si>
    <t>{{inv_count}}</t>
    <phoneticPr fontId="1" type="noConversion"/>
  </si>
  <si>
    <t>逆变器功率</t>
    <phoneticPr fontId="1" type="noConversion"/>
  </si>
  <si>
    <t>{{inv_power}}</t>
    <phoneticPr fontId="1" type="noConversion"/>
  </si>
  <si>
    <t>组件数量</t>
    <phoneticPr fontId="1" type="noConversion"/>
  </si>
  <si>
    <t>{{module_count}}</t>
    <phoneticPr fontId="1" type="noConversion"/>
  </si>
  <si>
    <t>总投资</t>
    <phoneticPr fontId="1" type="noConversion"/>
  </si>
  <si>
    <t>{{total_investment}}</t>
    <phoneticPr fontId="1" type="noConversion"/>
  </si>
  <si>
    <t>首年收益</t>
    <phoneticPr fontId="1" type="noConversion"/>
  </si>
  <si>
    <t>{{year1_revenue}}</t>
    <phoneticPr fontId="1" type="noConversion"/>
  </si>
  <si>
    <t>回收周期</t>
    <phoneticPr fontId="1" type="noConversion"/>
  </si>
  <si>
    <t>{{payback_period}}</t>
    <phoneticPr fontId="1" type="noConversion"/>
  </si>
  <si>
    <t>20年总收益</t>
    <phoneticPr fontId="1" type="noConversion"/>
  </si>
  <si>
    <t>{{rev_20y}}</t>
    <phoneticPr fontId="1" type="noConversion"/>
  </si>
  <si>
    <t>20年IRR</t>
    <phoneticPr fontId="1" type="noConversion"/>
  </si>
  <si>
    <t>{{irr_20y}}</t>
    <phoneticPr fontId="1" type="noConversion"/>
  </si>
  <si>
    <t>5年卖电站总收益</t>
    <phoneticPr fontId="1" type="noConversion"/>
  </si>
  <si>
    <t>{{rev_5y}}</t>
    <phoneticPr fontId="1" type="noConversion"/>
  </si>
  <si>
    <t>5年卖电站IRR</t>
    <phoneticPr fontId="1" type="noConversion"/>
  </si>
  <si>
    <t>{{irr_5y}}</t>
    <phoneticPr fontId="1" type="noConversion"/>
  </si>
  <si>
    <t>减碳量</t>
    <phoneticPr fontId="1" type="noConversion"/>
  </si>
  <si>
    <t>{{carbon_reduction}}</t>
  </si>
  <si>
    <t xml:space="preserve">    Dim sld As Slide</t>
  </si>
  <si>
    <t xml:space="preserve">    Dim shp As Shape</t>
  </si>
  <si>
    <t xml:space="preserve">    </t>
  </si>
  <si>
    <t xml:space="preserve">    For Each sld In ActivePresentation.Slides</t>
  </si>
  <si>
    <t xml:space="preserve">        For Each shp In sld.Shapes</t>
  </si>
  <si>
    <t xml:space="preserve">            If shp.HasTextFrame And shp.TextFrame.HasText Then</t>
  </si>
  <si>
    <t xml:space="preserve">                With shp.TextFrame.TextRange</t>
  </si>
  <si>
    <t xml:space="preserve">                    .Replace "</t>
  </si>
  <si>
    <t>", "</t>
    <phoneticPr fontId="1" type="noConversion"/>
  </si>
  <si>
    <t>"</t>
    <phoneticPr fontId="1" type="noConversion"/>
  </si>
  <si>
    <t xml:space="preserve">                End With</t>
  </si>
  <si>
    <t xml:space="preserve">            End If</t>
  </si>
  <si>
    <t xml:space="preserve">        Next shp</t>
  </si>
  <si>
    <t xml:space="preserve">    Next sld</t>
  </si>
  <si>
    <t xml:space="preserve">    MsgBox "✅ 所有 {{字段}} 已一次性替换完成！"</t>
  </si>
  <si>
    <t>End Sub</t>
  </si>
  <si>
    <t>{{pro_own}}</t>
  </si>
  <si>
    <t>业主名</t>
    <phoneticPr fontId="1" type="noConversion"/>
  </si>
  <si>
    <t>{{adr}}</t>
  </si>
  <si>
    <t>用户地址</t>
    <phoneticPr fontId="1" type="noConversion"/>
  </si>
  <si>
    <t>用户经纬度</t>
    <phoneticPr fontId="1" type="noConversion"/>
  </si>
  <si>
    <t>{{geographic}}</t>
  </si>
  <si>
    <t>FATIMA UNIVERSITY,LAGUNA</t>
    <phoneticPr fontId="1" type="noConversion"/>
  </si>
  <si>
    <t>Lot 2-B Manila S Rd, City of Santa Rosa, 4026 Laguna</t>
    <phoneticPr fontId="1" type="noConversion"/>
  </si>
  <si>
    <t>14°18'17.09"N 121°06'13.43"E</t>
  </si>
  <si>
    <t>aerial</t>
  </si>
  <si>
    <t>global</t>
    <phoneticPr fontId="1" type="noConversion"/>
  </si>
  <si>
    <t>opensloar 1</t>
  </si>
  <si>
    <t>opensloar 2</t>
  </si>
  <si>
    <t>Capital Expenditure</t>
  </si>
  <si>
    <t>Cumulative Financial Benefit</t>
  </si>
  <si>
    <t>5年曲线</t>
    <phoneticPr fontId="1" type="noConversion"/>
  </si>
  <si>
    <t>20年曲线</t>
    <phoneticPr fontId="1" type="noConversion"/>
  </si>
  <si>
    <t>optionB</t>
    <phoneticPr fontId="1" type="noConversion"/>
  </si>
  <si>
    <t>optionC</t>
    <phoneticPr fontId="1" type="noConversion"/>
  </si>
  <si>
    <t>Breakdown</t>
  </si>
  <si>
    <t>报价清单</t>
    <phoneticPr fontId="1" type="noConversion"/>
  </si>
  <si>
    <t>global截图</t>
    <phoneticPr fontId="1" type="noConversion"/>
  </si>
  <si>
    <t>航拍或卫星图</t>
    <phoneticPr fontId="1" type="noConversion"/>
  </si>
  <si>
    <t>opensloar 组件排布图</t>
    <phoneticPr fontId="1" type="noConversion"/>
  </si>
  <si>
    <t>opensolar 碳排量</t>
    <phoneticPr fontId="1" type="noConversion"/>
  </si>
  <si>
    <t>{{Exchg}}</t>
    <phoneticPr fontId="1" type="noConversion"/>
  </si>
  <si>
    <t>汇率</t>
    <phoneticPr fontId="1" type="noConversion"/>
  </si>
  <si>
    <t>汇率日期</t>
    <phoneticPr fontId="1" type="noConversion"/>
  </si>
  <si>
    <t>{{Exchg_date}}</t>
    <phoneticPr fontId="1" type="noConversion"/>
  </si>
  <si>
    <t>April 2 2006</t>
    <phoneticPr fontId="1" type="noConversion"/>
  </si>
  <si>
    <t>Sub BatchReplaceAll()</t>
    <phoneticPr fontId="1" type="noConversion"/>
  </si>
  <si>
    <t>逆变器的单位</t>
    <phoneticPr fontId="1" type="noConversion"/>
  </si>
  <si>
    <t>{{set}}</t>
    <phoneticPr fontId="1" type="noConversion"/>
  </si>
  <si>
    <t>sets</t>
    <phoneticPr fontId="1" type="noConversion"/>
  </si>
  <si>
    <t xml:space="preserve">", Chr(34) &amp; </t>
    <phoneticPr fontId="1" type="noConversion"/>
  </si>
  <si>
    <t>&amp; Chr(34)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</si>
</sst>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3" formatCode="_ * #,##0.00_ ;_ * \-#,##0.00_ ;_ * &quot;-&quot;??_ ;_ @_ "/>
    <numFmt numFmtId="176" formatCode="0.00_ "/>
    <numFmt numFmtId="177" formatCode="#,##0.00_ "/>
    <numFmt numFmtId="178" formatCode="_ * #,##0_ ;_ * \-#,##0_ ;_ * &quot;-&quot;??_ ;_ @_ "/>
    <numFmt numFmtId="179" formatCode="0.00_);[Red]\(0.00\)"/>
    <numFmt numFmtId="180" formatCode="0.0%"/>
    <numFmt numFmtId="181" formatCode="_ * #,##0.0_ ;_ * \-#,##0.0_ ;_ * &quot;-&quot;??_ ;_ @_ "/>
  </numFmts>
  <fonts count="4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2"/>
      <color rgb="FF000000"/>
      <name val="Calibri"/>
      <family val="1"/>
    </font>
    <font>
      <sz val="9"/>
      <name val="宋体"/>
      <family val="3"/>
      <charset val="134"/>
    </font>
    <font>
      <sz val="11"/>
      <color indexed="8"/>
      <name val="宋体"/>
      <family val="3"/>
      <charset val="134"/>
      <scheme val="minor"/>
    </font>
    <font>
      <sz val="10.55"/>
      <color rgb="FF000000"/>
      <name val="微软雅黑"/>
      <family val="2"/>
      <charset val="134"/>
    </font>
    <font>
      <b/>
      <sz val="11"/>
      <color indexed="8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微软雅黑"/>
      <family val="2"/>
      <charset val="134"/>
    </font>
    <font>
      <sz val="12"/>
      <color rgb="FF000000"/>
      <name val="微软雅黑"/>
      <family val="2"/>
      <charset val="134"/>
    </font>
    <font>
      <b/>
      <sz val="10"/>
      <color theme="1"/>
      <name val="Times New Roman"/>
      <family val="1"/>
    </font>
    <font>
      <b/>
      <sz val="10"/>
      <color theme="1"/>
      <name val="宋体"/>
      <family val="3"/>
      <charset val="134"/>
    </font>
    <font>
      <sz val="10"/>
      <color theme="1"/>
      <name val="Times New Roman"/>
      <family val="1"/>
    </font>
    <font>
      <sz val="10"/>
      <color theme="1"/>
      <name val="宋体"/>
      <family val="3"/>
      <charset val="134"/>
    </font>
    <font>
      <sz val="10"/>
      <color rgb="FF000000"/>
      <name val="Times New Roman"/>
      <family val="1"/>
    </font>
    <font>
      <sz val="10"/>
      <color rgb="FF000000"/>
      <name val="宋体"/>
      <family val="3"/>
      <charset val="134"/>
    </font>
    <font>
      <sz val="10"/>
      <color rgb="FF000000"/>
      <name val="宋体"/>
      <family val="1"/>
      <charset val="134"/>
    </font>
    <font>
      <sz val="10"/>
      <color rgb="FFFF0000"/>
      <name val="Times New Roman"/>
      <family val="1"/>
    </font>
    <font>
      <b/>
      <sz val="10"/>
      <color rgb="FF000000"/>
      <name val="Times New Roman"/>
      <family val="1"/>
    </font>
    <font>
      <sz val="10"/>
      <color theme="1"/>
      <name val="宋体"/>
      <family val="1"/>
      <charset val="134"/>
    </font>
    <font>
      <sz val="10"/>
      <color rgb="FF000000"/>
      <name val="Times New Roman"/>
      <family val="1"/>
      <charset val="134"/>
    </font>
    <font>
      <b/>
      <sz val="10"/>
      <color rgb="FF000000"/>
      <name val="宋体"/>
      <family val="3"/>
      <charset val="134"/>
    </font>
    <font>
      <b/>
      <sz val="10"/>
      <name val="Times New Roman"/>
      <family val="1"/>
    </font>
    <font>
      <sz val="11"/>
      <color indexed="8"/>
      <name val="宋体"/>
      <family val="3"/>
      <charset val="134"/>
    </font>
    <font>
      <sz val="12"/>
      <color rgb="FF000000"/>
      <name val="Times New Roman"/>
      <family val="1"/>
    </font>
    <font>
      <sz val="11"/>
      <color indexed="8"/>
      <name val="Times New Roman"/>
      <family val="1"/>
    </font>
    <font>
      <sz val="10.55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indexed="8"/>
      <name val="Times New Roman"/>
      <family val="1"/>
    </font>
    <font>
      <sz val="11"/>
      <color theme="1"/>
      <name val="宋体"/>
      <family val="3"/>
      <charset val="134"/>
      <scheme val="minor"/>
    </font>
    <font>
      <b/>
      <sz val="11"/>
      <color rgb="FF000000"/>
      <name val="Times New Roman"/>
      <family val="1"/>
    </font>
    <font>
      <sz val="11"/>
      <color rgb="FF000000"/>
      <name val="宋体"/>
      <family val="1"/>
      <charset val="134"/>
    </font>
    <font>
      <sz val="10"/>
      <color theme="1"/>
      <name val="Times New Roman"/>
      <family val="1"/>
      <charset val="134"/>
    </font>
    <font>
      <sz val="10"/>
      <color rgb="FF000000"/>
      <name val="Times New Roman"/>
      <family val="3"/>
    </font>
    <font>
      <sz val="10"/>
      <color rgb="FF000000"/>
      <name val="微软雅黑"/>
      <family val="3"/>
      <charset val="134"/>
    </font>
    <font>
      <sz val="10"/>
      <color rgb="FF000000"/>
      <name val="Times New Roman"/>
      <family val="3"/>
      <charset val="134"/>
    </font>
    <font>
      <sz val="10"/>
      <name val="Times New Roman"/>
      <family val="1"/>
    </font>
    <font>
      <b/>
      <sz val="12"/>
      <color rgb="FF000000"/>
      <name val="Calibri"/>
      <family val="1"/>
    </font>
    <font>
      <sz val="12"/>
      <color theme="1"/>
      <name val="宋体"/>
      <family val="3"/>
      <charset val="134"/>
      <scheme val="minor"/>
    </font>
    <font>
      <b/>
      <sz val="6"/>
      <color rgb="FF000000"/>
      <name val="Noto Sans SC"/>
      <family val="2"/>
      <charset val="134"/>
    </font>
    <font>
      <sz val="8"/>
      <color rgb="FF000000"/>
      <name val="Consolas"/>
      <family val="3"/>
    </font>
    <font>
      <sz val="8"/>
      <name val="Noto Sans SC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3" fillId="0" borderId="0" applyBorder="0" applyAlignment="0" applyProtection="0"/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</cellStyleXfs>
  <cellXfs count="152">
    <xf numFmtId="0" fontId="0" fillId="0" borderId="0" xfId="0">
      <alignment vertical="center"/>
    </xf>
    <xf numFmtId="0" fontId="5" fillId="0" borderId="0" xfId="3">
      <alignment vertical="center"/>
    </xf>
    <xf numFmtId="0" fontId="5" fillId="0" borderId="0" xfId="3" applyAlignment="1">
      <alignment horizontal="center" vertical="center"/>
    </xf>
    <xf numFmtId="9" fontId="5" fillId="0" borderId="0" xfId="3" applyNumberFormat="1" applyAlignment="1">
      <alignment horizontal="center" vertical="center"/>
    </xf>
    <xf numFmtId="3" fontId="6" fillId="0" borderId="0" xfId="3" applyNumberFormat="1" applyFont="1" applyAlignment="1">
      <alignment horizontal="center" vertical="center"/>
    </xf>
    <xf numFmtId="0" fontId="7" fillId="0" borderId="0" xfId="3" applyFont="1" applyAlignment="1">
      <alignment horizontal="center" vertical="center"/>
    </xf>
    <xf numFmtId="10" fontId="5" fillId="0" borderId="0" xfId="3" applyNumberFormat="1" applyAlignment="1">
      <alignment horizontal="center" vertical="center"/>
    </xf>
    <xf numFmtId="178" fontId="5" fillId="7" borderId="5" xfId="4" applyNumberFormat="1" applyFont="1" applyFill="1" applyBorder="1" applyAlignment="1">
      <alignment horizontal="center" vertical="center"/>
    </xf>
    <xf numFmtId="17" fontId="5" fillId="0" borderId="0" xfId="3" applyNumberFormat="1" applyAlignment="1">
      <alignment horizontal="center" vertical="center"/>
    </xf>
    <xf numFmtId="178" fontId="8" fillId="0" borderId="5" xfId="4" applyNumberFormat="1" applyFont="1" applyBorder="1" applyAlignment="1">
      <alignment horizontal="center" vertical="center"/>
    </xf>
    <xf numFmtId="178" fontId="8" fillId="0" borderId="0" xfId="4" applyNumberFormat="1" applyFont="1" applyAlignment="1">
      <alignment horizontal="center" vertical="center"/>
    </xf>
    <xf numFmtId="178" fontId="5" fillId="0" borderId="0" xfId="4" applyNumberFormat="1" applyFont="1" applyAlignment="1">
      <alignment horizontal="center" vertical="center"/>
    </xf>
    <xf numFmtId="179" fontId="7" fillId="0" borderId="5" xfId="4" applyNumberFormat="1" applyFont="1" applyBorder="1" applyAlignment="1">
      <alignment horizontal="center" vertical="center"/>
    </xf>
    <xf numFmtId="10" fontId="9" fillId="0" borderId="5" xfId="3" applyNumberFormat="1" applyFont="1" applyBorder="1" applyAlignment="1">
      <alignment horizontal="center" vertical="center"/>
    </xf>
    <xf numFmtId="4" fontId="10" fillId="0" borderId="0" xfId="3" applyNumberFormat="1" applyFont="1" applyAlignment="1">
      <alignment horizontal="center" vertical="center" wrapText="1"/>
    </xf>
    <xf numFmtId="4" fontId="10" fillId="0" borderId="0" xfId="3" applyNumberFormat="1" applyFont="1" applyAlignment="1">
      <alignment horizontal="center" vertical="center"/>
    </xf>
    <xf numFmtId="43" fontId="5" fillId="0" borderId="0" xfId="1" applyFont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13" fillId="3" borderId="1" xfId="0" applyFont="1" applyFill="1" applyBorder="1">
      <alignment vertical="center"/>
    </xf>
    <xf numFmtId="0" fontId="13" fillId="0" borderId="0" xfId="0" applyFont="1">
      <alignment vertical="center"/>
    </xf>
    <xf numFmtId="0" fontId="13" fillId="0" borderId="1" xfId="0" applyFont="1" applyBorder="1">
      <alignment vertical="center"/>
    </xf>
    <xf numFmtId="0" fontId="15" fillId="0" borderId="1" xfId="0" applyFont="1" applyBorder="1">
      <alignment vertical="center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43" fontId="15" fillId="0" borderId="1" xfId="1" applyFont="1" applyFill="1" applyBorder="1" applyAlignment="1">
      <alignment horizontal="center" vertical="center"/>
    </xf>
    <xf numFmtId="43" fontId="15" fillId="0" borderId="1" xfId="1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43" fontId="15" fillId="0" borderId="0" xfId="1" applyFont="1" applyFill="1" applyBorder="1" applyAlignment="1">
      <alignment horizontal="center" vertical="center"/>
    </xf>
    <xf numFmtId="0" fontId="15" fillId="0" borderId="1" xfId="2" applyFont="1" applyBorder="1" applyAlignment="1">
      <alignment horizontal="center" vertical="center"/>
    </xf>
    <xf numFmtId="0" fontId="15" fillId="0" borderId="1" xfId="2" applyFont="1" applyBorder="1" applyAlignment="1">
      <alignment horizontal="center" vertical="center" wrapText="1"/>
    </xf>
    <xf numFmtId="43" fontId="18" fillId="0" borderId="1" xfId="1" applyFont="1" applyBorder="1" applyAlignment="1">
      <alignment horizontal="center" vertical="center"/>
    </xf>
    <xf numFmtId="0" fontId="15" fillId="0" borderId="0" xfId="2" applyFont="1" applyAlignment="1">
      <alignment vertical="center"/>
    </xf>
    <xf numFmtId="0" fontId="19" fillId="0" borderId="1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43" fontId="15" fillId="0" borderId="0" xfId="2" applyNumberFormat="1" applyFont="1" applyAlignment="1">
      <alignment vertical="center"/>
    </xf>
    <xf numFmtId="0" fontId="21" fillId="0" borderId="0" xfId="2" applyFont="1" applyAlignment="1">
      <alignment vertical="center"/>
    </xf>
    <xf numFmtId="0" fontId="18" fillId="0" borderId="0" xfId="2" applyFont="1" applyAlignment="1">
      <alignment vertical="center"/>
    </xf>
    <xf numFmtId="0" fontId="15" fillId="0" borderId="1" xfId="2" applyFont="1" applyBorder="1" applyAlignment="1">
      <alignment vertical="center" wrapText="1"/>
    </xf>
    <xf numFmtId="0" fontId="15" fillId="6" borderId="1" xfId="2" applyFont="1" applyFill="1" applyBorder="1" applyAlignment="1">
      <alignment vertical="center" wrapText="1"/>
    </xf>
    <xf numFmtId="0" fontId="15" fillId="5" borderId="1" xfId="2" applyFont="1" applyFill="1" applyBorder="1" applyAlignment="1">
      <alignment vertical="center" wrapText="1"/>
    </xf>
    <xf numFmtId="0" fontId="15" fillId="0" borderId="0" xfId="2" applyFont="1" applyAlignment="1">
      <alignment vertical="center" wrapText="1"/>
    </xf>
    <xf numFmtId="0" fontId="15" fillId="0" borderId="1" xfId="2" applyFont="1" applyBorder="1" applyAlignment="1">
      <alignment vertical="center"/>
    </xf>
    <xf numFmtId="176" fontId="15" fillId="6" borderId="1" xfId="2" applyNumberFormat="1" applyFont="1" applyFill="1" applyBorder="1" applyAlignment="1">
      <alignment vertical="center"/>
    </xf>
    <xf numFmtId="10" fontId="15" fillId="0" borderId="0" xfId="2" applyNumberFormat="1" applyFont="1" applyAlignment="1">
      <alignment vertical="center"/>
    </xf>
    <xf numFmtId="0" fontId="15" fillId="5" borderId="1" xfId="2" applyFont="1" applyFill="1" applyBorder="1" applyAlignment="1">
      <alignment vertical="center"/>
    </xf>
    <xf numFmtId="176" fontId="15" fillId="0" borderId="0" xfId="2" applyNumberFormat="1" applyFont="1" applyAlignment="1">
      <alignment vertical="center"/>
    </xf>
    <xf numFmtId="0" fontId="19" fillId="0" borderId="0" xfId="2" applyFont="1"/>
    <xf numFmtId="0" fontId="15" fillId="0" borderId="0" xfId="2" applyFont="1"/>
    <xf numFmtId="0" fontId="15" fillId="0" borderId="1" xfId="2" applyFont="1" applyBorder="1"/>
    <xf numFmtId="176" fontId="15" fillId="0" borderId="1" xfId="2" applyNumberFormat="1" applyFont="1" applyBorder="1" applyAlignment="1">
      <alignment vertical="center"/>
    </xf>
    <xf numFmtId="0" fontId="15" fillId="3" borderId="0" xfId="2" applyFont="1" applyFill="1" applyAlignment="1">
      <alignment vertical="center"/>
    </xf>
    <xf numFmtId="0" fontId="19" fillId="0" borderId="1" xfId="2" applyFont="1" applyBorder="1" applyAlignment="1">
      <alignment vertical="center"/>
    </xf>
    <xf numFmtId="176" fontId="18" fillId="0" borderId="1" xfId="2" applyNumberFormat="1" applyFont="1" applyBorder="1" applyAlignment="1">
      <alignment vertical="center"/>
    </xf>
    <xf numFmtId="176" fontId="23" fillId="3" borderId="1" xfId="2" applyNumberFormat="1" applyFont="1" applyFill="1" applyBorder="1" applyAlignment="1">
      <alignment horizontal="center" vertical="center"/>
    </xf>
    <xf numFmtId="43" fontId="23" fillId="3" borderId="1" xfId="2" applyNumberFormat="1" applyFont="1" applyFill="1" applyBorder="1" applyAlignment="1">
      <alignment horizontal="center" vertical="center"/>
    </xf>
    <xf numFmtId="43" fontId="19" fillId="0" borderId="1" xfId="2" applyNumberFormat="1" applyFont="1" applyBorder="1" applyAlignment="1">
      <alignment vertical="center"/>
    </xf>
    <xf numFmtId="0" fontId="17" fillId="0" borderId="1" xfId="2" applyFont="1" applyBorder="1" applyAlignment="1">
      <alignment horizontal="center" vertical="center" wrapText="1"/>
    </xf>
    <xf numFmtId="177" fontId="15" fillId="4" borderId="3" xfId="2" applyNumberFormat="1" applyFont="1" applyFill="1" applyBorder="1" applyAlignment="1">
      <alignment vertical="center"/>
    </xf>
    <xf numFmtId="177" fontId="15" fillId="4" borderId="2" xfId="2" applyNumberFormat="1" applyFont="1" applyFill="1" applyBorder="1" applyAlignment="1">
      <alignment vertical="center"/>
    </xf>
    <xf numFmtId="178" fontId="15" fillId="0" borderId="1" xfId="1" applyNumberFormat="1" applyFont="1" applyFill="1" applyBorder="1" applyAlignment="1">
      <alignment horizontal="center" vertical="center"/>
    </xf>
    <xf numFmtId="178" fontId="15" fillId="0" borderId="1" xfId="1" applyNumberFormat="1" applyFont="1" applyBorder="1" applyAlignment="1">
      <alignment horizontal="center" vertical="center"/>
    </xf>
    <xf numFmtId="4" fontId="25" fillId="0" borderId="0" xfId="3" applyNumberFormat="1" applyFont="1" applyAlignment="1">
      <alignment horizontal="center" vertical="center"/>
    </xf>
    <xf numFmtId="4" fontId="25" fillId="0" borderId="0" xfId="3" applyNumberFormat="1" applyFont="1" applyAlignment="1">
      <alignment horizontal="center" vertical="center" wrapText="1"/>
    </xf>
    <xf numFmtId="0" fontId="26" fillId="0" borderId="0" xfId="3" applyFont="1">
      <alignment vertical="center"/>
    </xf>
    <xf numFmtId="17" fontId="26" fillId="0" borderId="0" xfId="3" applyNumberFormat="1" applyFont="1" applyAlignment="1">
      <alignment horizontal="center" vertical="center"/>
    </xf>
    <xf numFmtId="43" fontId="26" fillId="7" borderId="0" xfId="4" applyFont="1" applyFill="1" applyAlignment="1">
      <alignment horizontal="center" vertical="center"/>
    </xf>
    <xf numFmtId="3" fontId="27" fillId="0" borderId="0" xfId="3" applyNumberFormat="1" applyFont="1" applyAlignment="1">
      <alignment horizontal="center" vertical="center"/>
    </xf>
    <xf numFmtId="180" fontId="28" fillId="0" borderId="5" xfId="5" applyNumberFormat="1" applyFont="1" applyBorder="1" applyAlignment="1">
      <alignment horizontal="center" vertical="center"/>
    </xf>
    <xf numFmtId="179" fontId="29" fillId="0" borderId="5" xfId="4" applyNumberFormat="1" applyFont="1" applyBorder="1" applyAlignment="1">
      <alignment horizontal="center" vertical="center"/>
    </xf>
    <xf numFmtId="10" fontId="26" fillId="0" borderId="0" xfId="3" applyNumberFormat="1" applyFont="1" applyAlignment="1">
      <alignment horizontal="center" vertical="center"/>
    </xf>
    <xf numFmtId="0" fontId="26" fillId="0" borderId="0" xfId="3" applyFont="1" applyAlignment="1">
      <alignment horizontal="center" vertical="center"/>
    </xf>
    <xf numFmtId="178" fontId="26" fillId="0" borderId="0" xfId="4" applyNumberFormat="1" applyFont="1" applyAlignment="1">
      <alignment horizontal="center" vertical="center"/>
    </xf>
    <xf numFmtId="178" fontId="28" fillId="0" borderId="5" xfId="4" applyNumberFormat="1" applyFont="1" applyBorder="1" applyAlignment="1">
      <alignment horizontal="center" vertical="center"/>
    </xf>
    <xf numFmtId="178" fontId="26" fillId="7" borderId="5" xfId="4" applyNumberFormat="1" applyFont="1" applyFill="1" applyBorder="1" applyAlignment="1">
      <alignment horizontal="center" vertical="center"/>
    </xf>
    <xf numFmtId="0" fontId="29" fillId="0" borderId="0" xfId="3" applyFont="1" applyAlignment="1">
      <alignment horizontal="center" vertical="center"/>
    </xf>
    <xf numFmtId="9" fontId="26" fillId="0" borderId="0" xfId="3" applyNumberFormat="1" applyFont="1" applyAlignment="1">
      <alignment horizontal="center" vertical="center"/>
    </xf>
    <xf numFmtId="178" fontId="23" fillId="3" borderId="1" xfId="1" applyNumberFormat="1" applyFont="1" applyFill="1" applyBorder="1" applyAlignment="1">
      <alignment horizontal="center" vertical="center"/>
    </xf>
    <xf numFmtId="43" fontId="26" fillId="0" borderId="0" xfId="4" applyFont="1" applyFill="1" applyAlignment="1">
      <alignment horizontal="center" vertical="center"/>
    </xf>
    <xf numFmtId="178" fontId="29" fillId="0" borderId="6" xfId="4" applyNumberFormat="1" applyFont="1" applyBorder="1" applyAlignment="1">
      <alignment horizontal="right" vertical="center"/>
    </xf>
    <xf numFmtId="9" fontId="26" fillId="0" borderId="1" xfId="6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 wrapText="1"/>
    </xf>
    <xf numFmtId="43" fontId="13" fillId="0" borderId="0" xfId="0" applyNumberFormat="1" applyFont="1">
      <alignment vertical="center"/>
    </xf>
    <xf numFmtId="4" fontId="10" fillId="0" borderId="1" xfId="3" applyNumberFormat="1" applyFont="1" applyBorder="1" applyAlignment="1">
      <alignment horizontal="center" vertical="center"/>
    </xf>
    <xf numFmtId="0" fontId="5" fillId="0" borderId="1" xfId="3" applyBorder="1" applyAlignment="1">
      <alignment horizontal="center" vertical="center"/>
    </xf>
    <xf numFmtId="10" fontId="5" fillId="0" borderId="1" xfId="3" applyNumberFormat="1" applyBorder="1" applyAlignment="1">
      <alignment horizontal="center" vertical="center"/>
    </xf>
    <xf numFmtId="176" fontId="5" fillId="0" borderId="1" xfId="3" applyNumberFormat="1" applyBorder="1" applyAlignment="1">
      <alignment horizontal="center" vertical="center"/>
    </xf>
    <xf numFmtId="0" fontId="7" fillId="0" borderId="1" xfId="3" applyFont="1" applyBorder="1" applyAlignment="1">
      <alignment horizontal="center" vertical="center"/>
    </xf>
    <xf numFmtId="3" fontId="5" fillId="0" borderId="1" xfId="3" applyNumberFormat="1" applyBorder="1">
      <alignment vertical="center"/>
    </xf>
    <xf numFmtId="0" fontId="26" fillId="0" borderId="1" xfId="3" applyFont="1" applyBorder="1">
      <alignment vertical="center"/>
    </xf>
    <xf numFmtId="4" fontId="25" fillId="0" borderId="1" xfId="3" applyNumberFormat="1" applyFont="1" applyBorder="1" applyAlignment="1">
      <alignment horizontal="center" vertical="center" wrapText="1"/>
    </xf>
    <xf numFmtId="4" fontId="25" fillId="0" borderId="1" xfId="3" applyNumberFormat="1" applyFont="1" applyBorder="1" applyAlignment="1">
      <alignment horizontal="center" vertical="center"/>
    </xf>
    <xf numFmtId="9" fontId="26" fillId="0" borderId="1" xfId="6" applyFont="1" applyBorder="1">
      <alignment vertical="center"/>
    </xf>
    <xf numFmtId="179" fontId="26" fillId="0" borderId="1" xfId="3" applyNumberFormat="1" applyFont="1" applyBorder="1">
      <alignment vertical="center"/>
    </xf>
    <xf numFmtId="43" fontId="26" fillId="0" borderId="1" xfId="3" applyNumberFormat="1" applyFont="1" applyBorder="1">
      <alignment vertical="center"/>
    </xf>
    <xf numFmtId="180" fontId="26" fillId="0" borderId="1" xfId="3" applyNumberFormat="1" applyFont="1" applyBorder="1">
      <alignment vertical="center"/>
    </xf>
    <xf numFmtId="3" fontId="26" fillId="0" borderId="1" xfId="3" applyNumberFormat="1" applyFont="1" applyBorder="1">
      <alignment vertical="center"/>
    </xf>
    <xf numFmtId="43" fontId="26" fillId="0" borderId="1" xfId="1" applyFont="1" applyBorder="1">
      <alignment vertical="center"/>
    </xf>
    <xf numFmtId="0" fontId="17" fillId="0" borderId="1" xfId="2" applyFont="1" applyBorder="1" applyAlignment="1">
      <alignment vertical="center"/>
    </xf>
    <xf numFmtId="9" fontId="26" fillId="2" borderId="1" xfId="6" applyFont="1" applyFill="1" applyBorder="1">
      <alignment vertical="center"/>
    </xf>
    <xf numFmtId="0" fontId="26" fillId="2" borderId="1" xfId="3" applyFont="1" applyFill="1" applyBorder="1">
      <alignment vertical="center"/>
    </xf>
    <xf numFmtId="179" fontId="26" fillId="2" borderId="1" xfId="3" applyNumberFormat="1" applyFont="1" applyFill="1" applyBorder="1">
      <alignment vertical="center"/>
    </xf>
    <xf numFmtId="43" fontId="26" fillId="2" borderId="1" xfId="3" applyNumberFormat="1" applyFont="1" applyFill="1" applyBorder="1">
      <alignment vertical="center"/>
    </xf>
    <xf numFmtId="180" fontId="26" fillId="2" borderId="1" xfId="3" applyNumberFormat="1" applyFont="1" applyFill="1" applyBorder="1">
      <alignment vertical="center"/>
    </xf>
    <xf numFmtId="3" fontId="26" fillId="2" borderId="1" xfId="3" applyNumberFormat="1" applyFont="1" applyFill="1" applyBorder="1">
      <alignment vertical="center"/>
    </xf>
    <xf numFmtId="0" fontId="32" fillId="0" borderId="0" xfId="3" applyFont="1">
      <alignment vertical="center"/>
    </xf>
    <xf numFmtId="0" fontId="20" fillId="0" borderId="0" xfId="0" applyFont="1">
      <alignment vertical="center"/>
    </xf>
    <xf numFmtId="0" fontId="13" fillId="3" borderId="7" xfId="0" applyFont="1" applyFill="1" applyBorder="1">
      <alignment vertical="center"/>
    </xf>
    <xf numFmtId="0" fontId="20" fillId="0" borderId="1" xfId="0" applyFont="1" applyBorder="1">
      <alignment vertical="center"/>
    </xf>
    <xf numFmtId="0" fontId="33" fillId="0" borderId="0" xfId="0" applyFont="1">
      <alignment vertical="center"/>
    </xf>
    <xf numFmtId="0" fontId="36" fillId="0" borderId="1" xfId="0" applyFont="1" applyBorder="1" applyAlignment="1">
      <alignment horizontal="center" vertical="center" wrapText="1"/>
    </xf>
    <xf numFmtId="0" fontId="37" fillId="7" borderId="1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/>
    </xf>
    <xf numFmtId="43" fontId="15" fillId="7" borderId="1" xfId="1" applyFont="1" applyFill="1" applyBorder="1" applyAlignment="1">
      <alignment horizontal="center" vertical="center"/>
    </xf>
    <xf numFmtId="0" fontId="38" fillId="0" borderId="0" xfId="2" applyFont="1"/>
    <xf numFmtId="0" fontId="3" fillId="0" borderId="0" xfId="2"/>
    <xf numFmtId="0" fontId="17" fillId="0" borderId="1" xfId="0" applyFont="1" applyBorder="1" applyAlignment="1">
      <alignment horizontal="center" vertical="center"/>
    </xf>
    <xf numFmtId="43" fontId="37" fillId="0" borderId="1" xfId="1" applyFont="1" applyBorder="1" applyAlignment="1">
      <alignment horizontal="center" vertical="center"/>
    </xf>
    <xf numFmtId="178" fontId="37" fillId="0" borderId="1" xfId="1" applyNumberFormat="1" applyFont="1" applyBorder="1" applyAlignment="1">
      <alignment horizontal="center" vertical="center"/>
    </xf>
    <xf numFmtId="178" fontId="13" fillId="0" borderId="0" xfId="0" applyNumberFormat="1" applyFont="1">
      <alignment vertical="center"/>
    </xf>
    <xf numFmtId="3" fontId="13" fillId="0" borderId="0" xfId="0" applyNumberFormat="1" applyFont="1">
      <alignment vertical="center"/>
    </xf>
    <xf numFmtId="43" fontId="0" fillId="0" borderId="0" xfId="1" applyFont="1">
      <alignment vertical="center"/>
    </xf>
    <xf numFmtId="0" fontId="2" fillId="0" borderId="0" xfId="0" quotePrefix="1" applyFont="1">
      <alignment vertical="center"/>
    </xf>
    <xf numFmtId="43" fontId="0" fillId="0" borderId="0" xfId="0" applyNumberFormat="1">
      <alignment vertical="center"/>
    </xf>
    <xf numFmtId="0" fontId="39" fillId="0" borderId="1" xfId="0" applyFont="1" applyBorder="1" applyAlignment="1">
      <alignment horizontal="center" vertical="center"/>
    </xf>
    <xf numFmtId="178" fontId="39" fillId="7" borderId="1" xfId="1" applyNumberFormat="1" applyFont="1" applyFill="1" applyBorder="1" applyAlignment="1">
      <alignment horizontal="right" vertical="center"/>
    </xf>
    <xf numFmtId="0" fontId="0" fillId="4" borderId="0" xfId="0" applyFill="1">
      <alignment vertical="center"/>
    </xf>
    <xf numFmtId="0" fontId="2" fillId="4" borderId="0" xfId="0" applyFont="1" applyFill="1">
      <alignment vertical="center"/>
    </xf>
    <xf numFmtId="0" fontId="39" fillId="0" borderId="0" xfId="0" applyFont="1" applyAlignment="1">
      <alignment horizontal="center" vertical="center"/>
    </xf>
    <xf numFmtId="43" fontId="39" fillId="0" borderId="1" xfId="1" applyFont="1" applyBorder="1" applyAlignment="1">
      <alignment horizontal="right" vertical="center"/>
    </xf>
    <xf numFmtId="178" fontId="39" fillId="0" borderId="1" xfId="1" applyNumberFormat="1" applyFont="1" applyBorder="1" applyAlignment="1">
      <alignment horizontal="right" vertical="center"/>
    </xf>
    <xf numFmtId="10" fontId="39" fillId="0" borderId="1" xfId="1" applyNumberFormat="1" applyFont="1" applyBorder="1" applyAlignment="1">
      <alignment horizontal="right" vertical="center"/>
    </xf>
    <xf numFmtId="0" fontId="39" fillId="7" borderId="1" xfId="0" applyFont="1" applyFill="1" applyBorder="1" applyAlignment="1">
      <alignment horizontal="right" vertical="center"/>
    </xf>
    <xf numFmtId="181" fontId="39" fillId="7" borderId="1" xfId="1" applyNumberFormat="1" applyFont="1" applyFill="1" applyBorder="1" applyAlignment="1">
      <alignment horizontal="right" vertical="center"/>
    </xf>
    <xf numFmtId="43" fontId="39" fillId="7" borderId="1" xfId="1" applyFont="1" applyFill="1" applyBorder="1" applyAlignment="1">
      <alignment horizontal="right" vertical="center"/>
    </xf>
    <xf numFmtId="0" fontId="39" fillId="0" borderId="1" xfId="0" applyFont="1" applyBorder="1" applyAlignment="1">
      <alignment horizontal="right" vertical="center"/>
    </xf>
    <xf numFmtId="0" fontId="40" fillId="0" borderId="0" xfId="0" applyFont="1" applyAlignment="1">
      <alignment horizontal="center" vertical="center" readingOrder="1"/>
    </xf>
    <xf numFmtId="43" fontId="5" fillId="0" borderId="0" xfId="3" applyNumberFormat="1">
      <alignment vertical="center"/>
    </xf>
    <xf numFmtId="3" fontId="5" fillId="0" borderId="0" xfId="3" applyNumberFormat="1">
      <alignment vertical="center"/>
    </xf>
    <xf numFmtId="0" fontId="41" fillId="0" borderId="0" xfId="0" applyFont="1">
      <alignment vertical="center"/>
    </xf>
    <xf numFmtId="0" fontId="42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readingOrder="1"/>
    </xf>
    <xf numFmtId="0" fontId="42" fillId="0" borderId="0" xfId="0" applyFont="1" applyAlignment="1">
      <alignment horizontal="center" vertical="center"/>
    </xf>
    <xf numFmtId="0" fontId="42" fillId="0" borderId="0" xfId="0" applyFont="1">
      <alignment vertical="center"/>
    </xf>
    <xf numFmtId="0" fontId="12" fillId="0" borderId="4" xfId="0" applyFont="1" applyBorder="1" applyAlignment="1">
      <alignment horizontal="center" vertical="center" wrapText="1"/>
    </xf>
  </cellXfs>
  <cellStyles count="7">
    <cellStyle name="百分比" xfId="6" builtinId="5"/>
    <cellStyle name="百分比 2" xfId="5" xr:uid="{F0D7A9C8-33CD-4055-A5E8-24C3F64D8805}"/>
    <cellStyle name="常规" xfId="0" builtinId="0"/>
    <cellStyle name="常规 2" xfId="2" xr:uid="{422EB903-43CD-4773-B85B-E3844C4226CA}"/>
    <cellStyle name="常规 3" xfId="3" xr:uid="{E8165D0F-3E4F-4666-AAB7-5C33A0B05FE0}"/>
    <cellStyle name="千位分隔" xfId="1" builtinId="3"/>
    <cellStyle name="千位分隔 2" xfId="4" xr:uid="{C6AA6D14-13B3-4F9B-A1C0-95EED9978002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defTabSz="914400" rtl="0">
              <a:defRPr lang="en-US" sz="1800" b="1" i="0" u="none" strike="noStrike" kern="1200" spc="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+mn-lt"/>
                <a:ea typeface="+mn-ea"/>
                <a:cs typeface="+mn-cs"/>
              </a:rPr>
              <a:t>PPA Discount Sensitivity Analysis Based on Annual PV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defTabSz="914400" rtl="0">
            <a:defRPr lang="en-US" sz="1800" b="1" i="0" u="none" strike="noStrike" kern="1200" spc="0" baseline="0">
              <a:solidFill>
                <a:sysClr val="windowText" lastClr="000000">
                  <a:lumMod val="75000"/>
                  <a:lumOff val="25000"/>
                </a:sys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'IRR(电费折让30%收费20年）'!$G$2:$G$9</c:f>
              <c:numCache>
                <c:formatCode>0%</c:formatCode>
                <c:ptCount val="8"/>
                <c:pt idx="0">
                  <c:v>0</c:v>
                </c:pt>
                <c:pt idx="1">
                  <c:v>0.2</c:v>
                </c:pt>
                <c:pt idx="2">
                  <c:v>0.25</c:v>
                </c:pt>
                <c:pt idx="3">
                  <c:v>0.3</c:v>
                </c:pt>
                <c:pt idx="4">
                  <c:v>0.35</c:v>
                </c:pt>
                <c:pt idx="5">
                  <c:v>0.4</c:v>
                </c:pt>
                <c:pt idx="6">
                  <c:v>0.45</c:v>
                </c:pt>
                <c:pt idx="7">
                  <c:v>0.5</c:v>
                </c:pt>
              </c:numCache>
            </c:numRef>
          </c:cat>
          <c:val>
            <c:numRef>
              <c:f>'IRR(电费折让30%收费20年）'!$J$2:$J$9</c:f>
              <c:numCache>
                <c:formatCode>_(* #,##0.00_);_(* \(#,##0.00\);_(* "-"??_);_(@_)</c:formatCode>
                <c:ptCount val="8"/>
                <c:pt idx="0">
                  <c:v>1054.8796190400001</c:v>
                </c:pt>
                <c:pt idx="1">
                  <c:v>843.90369523200013</c:v>
                </c:pt>
                <c:pt idx="2">
                  <c:v>791.15971428000012</c:v>
                </c:pt>
                <c:pt idx="3">
                  <c:v>738.41573332799999</c:v>
                </c:pt>
                <c:pt idx="4">
                  <c:v>685.67175237600009</c:v>
                </c:pt>
                <c:pt idx="5">
                  <c:v>632.92777142400007</c:v>
                </c:pt>
                <c:pt idx="6">
                  <c:v>580.18379047200006</c:v>
                </c:pt>
                <c:pt idx="7">
                  <c:v>527.43980952000004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45-4FC9-A444-426F357EF253}"/>
            </c:ext>
          </c:extLst>
        </c:ser>
        <c:ser>
          <c:idx val="1"/>
          <c:order val="1"/>
          <c:tx>
            <c:strRef>
              <c:f>'IRR(电费折让30%收费20年）'!$K$1</c:f>
              <c:strCache>
                <c:ptCount val="1"/>
                <c:pt idx="0">
                  <c:v>IRR PA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'IRR(电费折让30%收费20年）'!$G$2:$G$9</c:f>
              <c:numCache>
                <c:formatCode>0%</c:formatCode>
                <c:ptCount val="8"/>
                <c:pt idx="0">
                  <c:v>0</c:v>
                </c:pt>
                <c:pt idx="1">
                  <c:v>0.2</c:v>
                </c:pt>
                <c:pt idx="2">
                  <c:v>0.25</c:v>
                </c:pt>
                <c:pt idx="3">
                  <c:v>0.3</c:v>
                </c:pt>
                <c:pt idx="4">
                  <c:v>0.35</c:v>
                </c:pt>
                <c:pt idx="5">
                  <c:v>0.4</c:v>
                </c:pt>
                <c:pt idx="6">
                  <c:v>0.45</c:v>
                </c:pt>
                <c:pt idx="7">
                  <c:v>0.5</c:v>
                </c:pt>
              </c:numCache>
            </c:numRef>
          </c:cat>
          <c:val>
            <c:numRef>
              <c:f>'IRR(电费折让30%收费20年）'!$K$2:$K$9</c:f>
              <c:numCache>
                <c:formatCode>0.0%</c:formatCode>
                <c:ptCount val="8"/>
                <c:pt idx="0">
                  <c:v>0.24925425968935966</c:v>
                </c:pt>
                <c:pt idx="1">
                  <c:v>0.19537278419766979</c:v>
                </c:pt>
                <c:pt idx="2">
                  <c:v>0.1815813921346614</c:v>
                </c:pt>
                <c:pt idx="3">
                  <c:v>0.1676057578288126</c:v>
                </c:pt>
                <c:pt idx="4">
                  <c:v>0.15340606671093071</c:v>
                </c:pt>
                <c:pt idx="5">
                  <c:v>0.13893236901624895</c:v>
                </c:pt>
                <c:pt idx="6">
                  <c:v>0.12412119977853342</c:v>
                </c:pt>
                <c:pt idx="7">
                  <c:v>0.10889065042690049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445-4FC9-A444-426F357EF2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1902306047"/>
        <c:axId val="1902289247"/>
      </c:barChart>
      <c:catAx>
        <c:axId val="190230604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Noto Sans SC" panose="020B0500000000000000" pitchFamily="34" charset="-122"/>
                    <a:ea typeface="Noto Sans SC" panose="020B0500000000000000" pitchFamily="34" charset="-122"/>
                    <a:cs typeface="Times New Roman" panose="02020603050405020304" pitchFamily="18" charset="0"/>
                  </a:defRPr>
                </a:pPr>
                <a:r>
                  <a:rPr lang="en-US" altLang="zh-CN" sz="900" b="1">
                    <a:latin typeface="Noto Sans SC" panose="020B0500000000000000" pitchFamily="34" charset="-122"/>
                    <a:ea typeface="Noto Sans SC" panose="020B0500000000000000" pitchFamily="34" charset="-122"/>
                  </a:rPr>
                  <a:t>PPA Disc.(%)</a:t>
                </a:r>
              </a:p>
            </c:rich>
          </c:tx>
          <c:layout>
            <c:manualLayout>
              <c:xMode val="edge"/>
              <c:yMode val="edge"/>
              <c:x val="9.3421553357683415E-3"/>
              <c:y val="0.3733333333333333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Noto Sans SC" panose="020B0500000000000000" pitchFamily="34" charset="-122"/>
                  <a:ea typeface="Noto Sans SC" panose="020B0500000000000000" pitchFamily="34" charset="-122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902289247"/>
        <c:crosses val="autoZero"/>
        <c:auto val="1"/>
        <c:lblAlgn val="ctr"/>
        <c:lblOffset val="100"/>
        <c:noMultiLvlLbl val="0"/>
      </c:catAx>
      <c:valAx>
        <c:axId val="1902289247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900" b="1" kern="100" dirty="0">
                    <a:effectLst/>
                    <a:latin typeface="Noto Sans SC" panose="020B0500000000000000" charset="-122"/>
                    <a:ea typeface="Noto Sans SC" panose="020B0500000000000000" charset="-122"/>
                    <a:cs typeface="江城圆体 400W" panose="020B0500000000000000" pitchFamily="34" charset="-122"/>
                  </a:rPr>
                  <a:t>PHP '000 &amp; IRR</a:t>
                </a:r>
                <a:r>
                  <a:rPr lang="en-US" altLang="zh-CN" sz="900" b="1" kern="100" baseline="0" dirty="0">
                    <a:effectLst/>
                    <a:latin typeface="Noto Sans SC" panose="020B0500000000000000" charset="-122"/>
                    <a:ea typeface="Noto Sans SC" panose="020B0500000000000000" charset="-122"/>
                    <a:cs typeface="江城圆体 400W" panose="020B0500000000000000" pitchFamily="34" charset="-122"/>
                  </a:rPr>
                  <a:t> PA</a:t>
                </a:r>
                <a:endParaRPr lang="en-US" altLang="zh-CN" sz="900" b="1" kern="100" dirty="0">
                  <a:effectLst/>
                  <a:latin typeface="Noto Sans SC" panose="020B0500000000000000" charset="-122"/>
                  <a:ea typeface="Noto Sans SC" panose="020B0500000000000000" charset="-122"/>
                  <a:cs typeface="江城圆体 400W" panose="020B0500000000000000" pitchFamily="34" charset="-122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 altLang="zh-CN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crossAx val="1902306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Impact of PPA Discount Rate on Payback Period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9.392334730088564E-2"/>
          <c:y val="0.19432888597258677"/>
          <c:w val="0.87956593145155115"/>
          <c:h val="0.6169364246135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'IRR(电费折让30%收费20年）'!$G$2:$G$9</c:f>
              <c:numCache>
                <c:formatCode>0%</c:formatCode>
                <c:ptCount val="8"/>
                <c:pt idx="0">
                  <c:v>0</c:v>
                </c:pt>
                <c:pt idx="1">
                  <c:v>0.2</c:v>
                </c:pt>
                <c:pt idx="2">
                  <c:v>0.25</c:v>
                </c:pt>
                <c:pt idx="3">
                  <c:v>0.3</c:v>
                </c:pt>
                <c:pt idx="4">
                  <c:v>0.35</c:v>
                </c:pt>
                <c:pt idx="5">
                  <c:v>0.4</c:v>
                </c:pt>
                <c:pt idx="6">
                  <c:v>0.45</c:v>
                </c:pt>
                <c:pt idx="7">
                  <c:v>0.5</c:v>
                </c:pt>
              </c:numCache>
            </c:numRef>
          </c:cat>
          <c:val>
            <c:numRef>
              <c:f>'IRR(电费折让30%收费20年）'!$I$2:$I$9</c:f>
              <c:numCache>
                <c:formatCode>0.00_);[Red]\(0.00\)</c:formatCode>
                <c:ptCount val="8"/>
                <c:pt idx="0">
                  <c:v>3.8561897742435693</c:v>
                </c:pt>
                <c:pt idx="1">
                  <c:v>4.8202372178044612</c:v>
                </c:pt>
                <c:pt idx="2">
                  <c:v>5.1415863656580925</c:v>
                </c:pt>
                <c:pt idx="3">
                  <c:v>5.5088425346336711</c:v>
                </c:pt>
                <c:pt idx="4">
                  <c:v>5.9325996526824136</c:v>
                </c:pt>
                <c:pt idx="5">
                  <c:v>6.4269829570726156</c:v>
                </c:pt>
                <c:pt idx="6">
                  <c:v>7.0112541349883077</c:v>
                </c:pt>
                <c:pt idx="7">
                  <c:v>7.7123795484871387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6F-4CA1-9E00-4CB45F59F56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4251216"/>
        <c:axId val="134251696"/>
      </c:barChart>
      <c:catAx>
        <c:axId val="1342512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900" b="1" kern="100" dirty="0">
                    <a:effectLst/>
                    <a:latin typeface="Noto Sans SC" panose="020B0500000000000000" charset="-122"/>
                    <a:ea typeface="Noto Sans SC" panose="020B0500000000000000" charset="-122"/>
                    <a:cs typeface="江城圆体 400W" panose="020B0500000000000000" pitchFamily="34" charset="-122"/>
                  </a:rPr>
                  <a:t>PPA Disc.(%)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4251696"/>
        <c:crosses val="autoZero"/>
        <c:auto val="1"/>
        <c:lblAlgn val="ctr"/>
        <c:lblOffset val="100"/>
        <c:noMultiLvlLbl val="0"/>
      </c:catAx>
      <c:valAx>
        <c:axId val="134251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900" b="1" kern="100" dirty="0">
                    <a:effectLst/>
                    <a:latin typeface="Noto Sans SC" panose="020B0500000000000000" charset="-122"/>
                    <a:ea typeface="Noto Sans SC" panose="020B0500000000000000" charset="-122"/>
                    <a:cs typeface="江城圆体 400W" panose="020B0500000000000000" pitchFamily="34" charset="-122"/>
                  </a:rPr>
                  <a:t>Years</a:t>
                </a:r>
              </a:p>
            </c:rich>
          </c:tx>
          <c:layout>
            <c:manualLayout>
              <c:xMode val="edge"/>
              <c:yMode val="edge"/>
              <c:x val="0"/>
              <c:y val="0.403260061242344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_);[Red]\(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4251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0294699480103199"/>
          <c:y val="4.5556766476854763E-2"/>
          <c:w val="0.85964923982574593"/>
          <c:h val="0.75420880967284942"/>
        </c:manualLayout>
      </c:layout>
      <c:lineChart>
        <c:grouping val="standard"/>
        <c:varyColors val="0"/>
        <c:ser>
          <c:idx val="0"/>
          <c:order val="0"/>
          <c:tx>
            <c:strRef>
              <c:f>'IRR(7年后1元转让给业主）'!$N$1</c:f>
              <c:strCache>
                <c:ptCount val="1"/>
                <c:pt idx="0">
                  <c:v>Capital Expenditure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'IRR(7年后1元转让给业主）'!$M$2:$M$7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cat>
          <c:val>
            <c:numRef>
              <c:f>'IRR(7年后1元转让给业主）'!$N$2:$N$7</c:f>
              <c:numCache>
                <c:formatCode>_(* #,##0.00_);_(* \(#,##0.00\);_(* "-"??_);_(@_)</c:formatCode>
                <c:ptCount val="6"/>
                <c:pt idx="0">
                  <c:v>3108.259</c:v>
                </c:pt>
                <c:pt idx="1">
                  <c:v>3108.259</c:v>
                </c:pt>
                <c:pt idx="2">
                  <c:v>3108.259</c:v>
                </c:pt>
                <c:pt idx="3">
                  <c:v>3108.259</c:v>
                </c:pt>
                <c:pt idx="4">
                  <c:v>3108.259</c:v>
                </c:pt>
                <c:pt idx="5">
                  <c:v>3108.259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0C-4FA1-83AD-439140CD5BE3}"/>
            </c:ext>
          </c:extLst>
        </c:ser>
        <c:ser>
          <c:idx val="1"/>
          <c:order val="1"/>
          <c:tx>
            <c:strRef>
              <c:f>'IRR(7年后1元转让给业主）'!$O$1</c:f>
              <c:strCache>
                <c:ptCount val="1"/>
                <c:pt idx="0">
                  <c:v>Cumulative Financial Benefit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'IRR(7年后1元转让给业主）'!$M$2:$M$7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cat>
          <c:val>
            <c:numRef>
              <c:f>'IRR(7年后1元转让给业主）'!$O$2:$O$7</c:f>
              <c:numCache>
                <c:formatCode>#,##0</c:formatCode>
                <c:ptCount val="6"/>
                <c:pt idx="0" formatCode="General">
                  <c:v>0</c:v>
                </c:pt>
                <c:pt idx="1">
                  <c:v>1054.8796190400001</c:v>
                </c:pt>
                <c:pt idx="2">
                  <c:v>2088.6616456992001</c:v>
                </c:pt>
                <c:pt idx="3">
                  <c:v>3118.3085442517631</c:v>
                </c:pt>
                <c:pt idx="4">
                  <c:v>4143.8368552101165</c:v>
                </c:pt>
                <c:pt idx="5">
                  <c:v>5165.2630529246362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0C-4FA1-83AD-439140CD5B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6181344"/>
        <c:axId val="406172224"/>
      </c:lineChart>
      <c:catAx>
        <c:axId val="406181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Years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0.93879159285660985"/>
              <c:y val="0.825416038420729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06172224"/>
        <c:crosses val="autoZero"/>
        <c:auto val="1"/>
        <c:lblAlgn val="ctr"/>
        <c:lblOffset val="100"/>
        <c:noMultiLvlLbl val="0"/>
      </c:catAx>
      <c:valAx>
        <c:axId val="406172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b="1" kern="100" dirty="0">
                    <a:effectLst/>
                    <a:latin typeface="Noto Sans SC" panose="020B0500000000000000" charset="-122"/>
                    <a:ea typeface="Noto Sans SC" panose="020B0500000000000000" charset="-122"/>
                    <a:cs typeface="江城圆体 400W" panose="020B0500000000000000" pitchFamily="34" charset="-122"/>
                  </a:rPr>
                  <a:t>PHP '000 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1.6941971479858531E-3"/>
              <c:y val="0.2614871676605277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06181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1</xdr:row>
      <xdr:rowOff>0</xdr:rowOff>
    </xdr:from>
    <xdr:to>
      <xdr:col>21</xdr:col>
      <xdr:colOff>526069</xdr:colOff>
      <xdr:row>4</xdr:row>
      <xdr:rowOff>142774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A03B3E7A-8F65-32E9-D438-91316DB38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55300" y="165100"/>
          <a:ext cx="7847619" cy="8095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587374</xdr:colOff>
      <xdr:row>23</xdr:row>
      <xdr:rowOff>146050</xdr:rowOff>
    </xdr:from>
    <xdr:to>
      <xdr:col>17</xdr:col>
      <xdr:colOff>514350</xdr:colOff>
      <xdr:row>34</xdr:row>
      <xdr:rowOff>171450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0467843-32C9-62AF-2530-B8BE330D8A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593724</xdr:colOff>
      <xdr:row>12</xdr:row>
      <xdr:rowOff>120650</xdr:rowOff>
    </xdr:from>
    <xdr:to>
      <xdr:col>17</xdr:col>
      <xdr:colOff>507999</xdr:colOff>
      <xdr:row>23</xdr:row>
      <xdr:rowOff>139700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DD0CFF64-4D48-D20C-C0D0-667E6F6D10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479424</xdr:colOff>
      <xdr:row>12</xdr:row>
      <xdr:rowOff>12700</xdr:rowOff>
    </xdr:from>
    <xdr:to>
      <xdr:col>19</xdr:col>
      <xdr:colOff>273050</xdr:colOff>
      <xdr:row>29</xdr:row>
      <xdr:rowOff>139700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359FE5B8-204F-2946-30C1-7A0C51F609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CCE\1&#12289;&#21378;&#23478;&#36164;&#26009;\12.&#33778;&#24459;&#23486;\laguna&#26368;&#26032;&#26041;&#26696;&#21450;&#27979;&#31639;\&#27979;&#31639;\pampanga5%23\pampanga%205%23.xlsx" TargetMode="External"/><Relationship Id="rId1" Type="http://schemas.openxmlformats.org/officeDocument/2006/relationships/externalLinkPath" Target="laguna&#26368;&#26032;&#26041;&#26696;&#21450;&#27979;&#31639;/&#27979;&#31639;/pampanga5%23/pampanga%205%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成本&amp;报价"/>
      <sheetName val="收益"/>
      <sheetName val="IRR(电费折让30%收费20年）"/>
      <sheetName val="IRR(7年后1元转让给业主）"/>
      <sheetName val="PPT"/>
    </sheetNames>
    <sheetDataSet>
      <sheetData sheetId="0"/>
      <sheetData sheetId="1">
        <row r="57">
          <cell r="B57">
            <v>4067816</v>
          </cell>
        </row>
        <row r="58">
          <cell r="B58">
            <v>1054879.61904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6"/>
  <sheetViews>
    <sheetView tabSelected="1" zoomScaleNormal="100" workbookViewId="0">
      <selection activeCell="M2" sqref="M2"/>
    </sheetView>
  </sheetViews>
  <sheetFormatPr defaultColWidth="8.7265625" defaultRowHeight="13" x14ac:dyDescent="0.25"/>
  <cols>
    <col min="1" max="1" width="5.1796875" style="20" bestFit="1" customWidth="1"/>
    <col min="2" max="2" width="43.81640625" style="38" bestFit="1" customWidth="1"/>
    <col min="3" max="3" width="13.90625" style="20" bestFit="1" customWidth="1"/>
    <col min="4" max="4" width="12.453125" style="20" bestFit="1" customWidth="1"/>
    <col min="5" max="5" width="5" style="20" bestFit="1" customWidth="1"/>
    <col min="6" max="6" width="12.81640625" style="20" bestFit="1" customWidth="1"/>
    <col min="7" max="7" width="12.36328125" style="20" bestFit="1" customWidth="1"/>
    <col min="8" max="9" width="10.36328125" style="20" bestFit="1" customWidth="1"/>
    <col min="10" max="10" width="8.81640625" style="20" customWidth="1"/>
    <col min="11" max="12" width="8.7265625" style="20"/>
    <col min="13" max="13" width="39.08984375" style="20" bestFit="1" customWidth="1"/>
    <col min="14" max="14" width="5" style="20" bestFit="1" customWidth="1"/>
    <col min="15" max="15" width="8.7265625" style="20"/>
    <col min="16" max="16" width="10.26953125" style="20" bestFit="1" customWidth="1"/>
    <col min="17" max="17" width="6.81640625" style="20" bestFit="1" customWidth="1"/>
    <col min="18" max="16384" width="8.7265625" style="20"/>
  </cols>
  <sheetData>
    <row r="1" spans="1:11" x14ac:dyDescent="0.25">
      <c r="A1" s="17" t="s">
        <v>97</v>
      </c>
      <c r="B1" s="18">
        <v>8.76</v>
      </c>
      <c r="C1" s="19" t="s">
        <v>153</v>
      </c>
      <c r="D1" s="19" t="s">
        <v>128</v>
      </c>
      <c r="E1" s="19"/>
      <c r="F1" s="19"/>
      <c r="G1" s="114"/>
      <c r="H1" s="113"/>
    </row>
    <row r="2" spans="1:11" ht="26" x14ac:dyDescent="0.25">
      <c r="A2" s="23" t="s">
        <v>98</v>
      </c>
      <c r="B2" s="24" t="s">
        <v>99</v>
      </c>
      <c r="C2" s="23" t="s">
        <v>100</v>
      </c>
      <c r="D2" s="24" t="s">
        <v>101</v>
      </c>
      <c r="E2" s="23" t="s">
        <v>102</v>
      </c>
      <c r="F2" s="23" t="s">
        <v>103</v>
      </c>
      <c r="G2" s="23" t="s">
        <v>104</v>
      </c>
      <c r="H2" s="115" t="s">
        <v>152</v>
      </c>
      <c r="J2" s="113" t="s">
        <v>156</v>
      </c>
      <c r="K2" s="113" t="s">
        <v>157</v>
      </c>
    </row>
    <row r="3" spans="1:11" ht="13.5" x14ac:dyDescent="0.25">
      <c r="A3" s="23">
        <f>ROW()-2</f>
        <v>1</v>
      </c>
      <c r="B3" s="117" t="s">
        <v>165</v>
      </c>
      <c r="C3" s="23">
        <v>2</v>
      </c>
      <c r="D3" s="25">
        <f>201000/B1*1.13+400</f>
        <v>26328.082191780821</v>
      </c>
      <c r="E3" s="23" t="s">
        <v>105</v>
      </c>
      <c r="F3" s="26">
        <f t="shared" ref="F3:F8" si="0">C3*D3</f>
        <v>52656.164383561641</v>
      </c>
      <c r="G3" s="39"/>
      <c r="H3" s="115">
        <v>0.92</v>
      </c>
      <c r="I3" s="89"/>
      <c r="J3" s="20">
        <v>16</v>
      </c>
      <c r="K3" s="20">
        <v>6</v>
      </c>
    </row>
    <row r="4" spans="1:11" x14ac:dyDescent="0.25">
      <c r="A4" s="23">
        <f t="shared" ref="A4:A19" si="1">ROW()-2</f>
        <v>2</v>
      </c>
      <c r="B4" s="24" t="s">
        <v>106</v>
      </c>
      <c r="C4" s="23">
        <v>168</v>
      </c>
      <c r="D4" s="25">
        <f>0.84*630</f>
        <v>529.19999999999993</v>
      </c>
      <c r="E4" s="23" t="s">
        <v>107</v>
      </c>
      <c r="F4" s="26">
        <f t="shared" si="0"/>
        <v>88905.599999999991</v>
      </c>
      <c r="G4" s="23"/>
      <c r="H4" s="115">
        <v>0.92</v>
      </c>
      <c r="I4" s="89"/>
      <c r="J4" s="20">
        <v>17</v>
      </c>
      <c r="K4" s="20">
        <v>0</v>
      </c>
    </row>
    <row r="5" spans="1:11" x14ac:dyDescent="0.25">
      <c r="A5" s="23">
        <f t="shared" si="1"/>
        <v>3</v>
      </c>
      <c r="B5" s="24" t="s">
        <v>108</v>
      </c>
      <c r="C5" s="23">
        <f>C4</f>
        <v>168</v>
      </c>
      <c r="D5" s="25">
        <f>0.1331*630</f>
        <v>83.852999999999994</v>
      </c>
      <c r="E5" s="23" t="s">
        <v>109</v>
      </c>
      <c r="F5" s="26">
        <f t="shared" si="0"/>
        <v>14087.303999999998</v>
      </c>
      <c r="G5" s="23"/>
      <c r="H5" s="21">
        <v>0.7</v>
      </c>
      <c r="I5" s="89"/>
      <c r="J5" s="20">
        <v>18</v>
      </c>
      <c r="K5" s="20">
        <f>(C4-J3*K3-J4*K4)/J5</f>
        <v>4</v>
      </c>
    </row>
    <row r="6" spans="1:11" x14ac:dyDescent="0.25">
      <c r="A6" s="23">
        <f t="shared" si="1"/>
        <v>4</v>
      </c>
      <c r="B6" s="24" t="s">
        <v>0</v>
      </c>
      <c r="C6" s="118">
        <f>_xlfn.CEILING.MATH(SUM(K3:K5)*4*1.1,10)</f>
        <v>50</v>
      </c>
      <c r="D6" s="25">
        <v>5.5</v>
      </c>
      <c r="E6" s="23" t="s">
        <v>109</v>
      </c>
      <c r="F6" s="26">
        <f t="shared" si="0"/>
        <v>275</v>
      </c>
      <c r="G6" s="23"/>
      <c r="H6" s="21">
        <v>0.7</v>
      </c>
      <c r="I6" s="89"/>
    </row>
    <row r="7" spans="1:11" ht="14.5" x14ac:dyDescent="0.25">
      <c r="A7" s="23">
        <f t="shared" si="1"/>
        <v>5</v>
      </c>
      <c r="B7" s="117" t="s">
        <v>154</v>
      </c>
      <c r="C7" s="23">
        <v>1</v>
      </c>
      <c r="D7" s="25">
        <v>2951</v>
      </c>
      <c r="E7" s="23" t="s">
        <v>109</v>
      </c>
      <c r="F7" s="26">
        <f t="shared" si="0"/>
        <v>2951</v>
      </c>
      <c r="G7" s="23"/>
      <c r="H7" s="21">
        <v>0.7</v>
      </c>
      <c r="I7" s="89"/>
    </row>
    <row r="8" spans="1:11" ht="13.5" x14ac:dyDescent="0.25">
      <c r="A8" s="23">
        <f t="shared" si="1"/>
        <v>6</v>
      </c>
      <c r="B8" s="24" t="s">
        <v>155</v>
      </c>
      <c r="C8" s="23">
        <v>1</v>
      </c>
      <c r="D8" s="25">
        <v>56</v>
      </c>
      <c r="E8" s="23" t="s">
        <v>110</v>
      </c>
      <c r="F8" s="26">
        <f t="shared" si="0"/>
        <v>56</v>
      </c>
      <c r="G8" s="23"/>
      <c r="H8" s="21">
        <v>0.7</v>
      </c>
      <c r="I8" s="89"/>
    </row>
    <row r="9" spans="1:11" x14ac:dyDescent="0.25">
      <c r="A9" s="23">
        <f t="shared" si="1"/>
        <v>7</v>
      </c>
      <c r="B9" s="24" t="s">
        <v>111</v>
      </c>
      <c r="C9" s="118">
        <f>_xlfn.CEILING.MATH(C15/138.88*3000,100)</f>
        <v>2300</v>
      </c>
      <c r="D9" s="25">
        <v>4.5999999999999996</v>
      </c>
      <c r="E9" s="23" t="s">
        <v>112</v>
      </c>
      <c r="F9" s="26">
        <f>C9*D9</f>
        <v>10580</v>
      </c>
      <c r="G9" s="23"/>
      <c r="H9" s="21">
        <v>0.7</v>
      </c>
      <c r="I9" s="89"/>
    </row>
    <row r="10" spans="1:11" x14ac:dyDescent="0.25">
      <c r="A10" s="23">
        <f t="shared" si="1"/>
        <v>8</v>
      </c>
      <c r="B10" s="24" t="s">
        <v>113</v>
      </c>
      <c r="C10" s="23">
        <v>100</v>
      </c>
      <c r="D10" s="25">
        <v>500</v>
      </c>
      <c r="E10" s="23" t="s">
        <v>112</v>
      </c>
      <c r="F10" s="26">
        <f>C10*D10</f>
        <v>50000</v>
      </c>
      <c r="G10" s="23"/>
      <c r="H10" s="21">
        <v>0.7</v>
      </c>
      <c r="I10" s="89"/>
    </row>
    <row r="11" spans="1:11" ht="13.5" x14ac:dyDescent="0.25">
      <c r="A11" s="23">
        <f t="shared" si="1"/>
        <v>9</v>
      </c>
      <c r="B11" s="24" t="s">
        <v>114</v>
      </c>
      <c r="C11" s="23">
        <v>1</v>
      </c>
      <c r="D11" s="25">
        <v>1510</v>
      </c>
      <c r="E11" s="23" t="s">
        <v>115</v>
      </c>
      <c r="F11" s="26">
        <f>C11*D11</f>
        <v>1510</v>
      </c>
      <c r="G11" s="23"/>
      <c r="H11" s="21">
        <v>0.7</v>
      </c>
      <c r="I11" s="89"/>
    </row>
    <row r="12" spans="1:11" ht="13.5" x14ac:dyDescent="0.25">
      <c r="A12" s="23">
        <f t="shared" si="1"/>
        <v>10</v>
      </c>
      <c r="B12" s="24" t="s">
        <v>116</v>
      </c>
      <c r="C12" s="23">
        <v>1</v>
      </c>
      <c r="D12" s="25">
        <v>3000</v>
      </c>
      <c r="E12" s="23" t="s">
        <v>110</v>
      </c>
      <c r="F12" s="26">
        <f>C12*D12</f>
        <v>3000</v>
      </c>
      <c r="G12" s="23"/>
      <c r="H12" s="21">
        <v>0.7</v>
      </c>
      <c r="I12" s="89"/>
    </row>
    <row r="13" spans="1:11" ht="13.5" x14ac:dyDescent="0.25">
      <c r="A13" s="23">
        <f t="shared" si="1"/>
        <v>11</v>
      </c>
      <c r="B13" s="24" t="s">
        <v>117</v>
      </c>
      <c r="C13" s="23">
        <v>1</v>
      </c>
      <c r="D13" s="25">
        <v>2510</v>
      </c>
      <c r="E13" s="23" t="s">
        <v>110</v>
      </c>
      <c r="F13" s="26">
        <f t="shared" ref="F13:F19" si="2">C13*D13</f>
        <v>2510</v>
      </c>
      <c r="G13" s="23"/>
      <c r="H13" s="21">
        <v>0.7</v>
      </c>
      <c r="I13" s="89"/>
    </row>
    <row r="14" spans="1:11" ht="13.5" x14ac:dyDescent="0.25">
      <c r="A14" s="23">
        <f t="shared" si="1"/>
        <v>12</v>
      </c>
      <c r="B14" s="24" t="s">
        <v>118</v>
      </c>
      <c r="C14" s="23">
        <v>1</v>
      </c>
      <c r="D14" s="25">
        <v>3960</v>
      </c>
      <c r="E14" s="23" t="s">
        <v>110</v>
      </c>
      <c r="F14" s="26">
        <f t="shared" si="2"/>
        <v>3960</v>
      </c>
      <c r="G14" s="23"/>
      <c r="H14" s="21">
        <v>0.7</v>
      </c>
      <c r="I14" s="89"/>
    </row>
    <row r="15" spans="1:11" x14ac:dyDescent="0.25">
      <c r="A15" s="23">
        <f t="shared" si="1"/>
        <v>13</v>
      </c>
      <c r="B15" s="24" t="s">
        <v>119</v>
      </c>
      <c r="C15" s="119">
        <f>630*C4/1000</f>
        <v>105.84</v>
      </c>
      <c r="D15" s="120">
        <v>400</v>
      </c>
      <c r="E15" s="23"/>
      <c r="F15" s="26">
        <f>C15*D15</f>
        <v>42336</v>
      </c>
      <c r="G15" s="23"/>
      <c r="H15" s="21">
        <v>0.7</v>
      </c>
      <c r="I15" s="89"/>
    </row>
    <row r="16" spans="1:11" x14ac:dyDescent="0.25">
      <c r="A16" s="23">
        <f t="shared" si="1"/>
        <v>14</v>
      </c>
      <c r="B16" s="24" t="s">
        <v>158</v>
      </c>
      <c r="C16" s="23">
        <v>0.5</v>
      </c>
      <c r="D16" s="25">
        <v>8260</v>
      </c>
      <c r="E16" s="23"/>
      <c r="F16" s="26">
        <f t="shared" ref="F16:F17" si="3">C16*D16</f>
        <v>4130</v>
      </c>
      <c r="G16" s="23"/>
      <c r="H16" s="21">
        <v>0.7</v>
      </c>
      <c r="I16" s="89"/>
    </row>
    <row r="17" spans="1:11" x14ac:dyDescent="0.25">
      <c r="A17" s="23">
        <f t="shared" si="1"/>
        <v>15</v>
      </c>
      <c r="B17" s="40" t="s">
        <v>159</v>
      </c>
      <c r="C17" s="23">
        <v>2.4</v>
      </c>
      <c r="D17" s="25">
        <v>3000</v>
      </c>
      <c r="E17" s="123" t="s">
        <v>160</v>
      </c>
      <c r="F17" s="26">
        <f t="shared" si="3"/>
        <v>7200</v>
      </c>
      <c r="G17" s="23"/>
      <c r="H17" s="21">
        <v>1</v>
      </c>
      <c r="I17" s="89"/>
    </row>
    <row r="18" spans="1:11" x14ac:dyDescent="0.25">
      <c r="A18" s="23">
        <f t="shared" si="1"/>
        <v>16</v>
      </c>
      <c r="B18" s="24" t="s">
        <v>120</v>
      </c>
      <c r="C18" s="23">
        <v>0</v>
      </c>
      <c r="D18" s="25"/>
      <c r="E18" s="23"/>
      <c r="F18" s="26">
        <f t="shared" si="2"/>
        <v>0</v>
      </c>
      <c r="G18" s="23"/>
      <c r="H18" s="21"/>
    </row>
    <row r="19" spans="1:11" x14ac:dyDescent="0.25">
      <c r="A19" s="23">
        <f t="shared" si="1"/>
        <v>17</v>
      </c>
      <c r="B19" s="24" t="s">
        <v>121</v>
      </c>
      <c r="C19" s="23">
        <v>0</v>
      </c>
      <c r="D19" s="25"/>
      <c r="E19" s="23"/>
      <c r="F19" s="26">
        <f t="shared" si="2"/>
        <v>0</v>
      </c>
      <c r="G19" s="23"/>
      <c r="H19" s="21"/>
    </row>
    <row r="20" spans="1:11" x14ac:dyDescent="0.25">
      <c r="A20" s="23">
        <v>18</v>
      </c>
      <c r="G20" s="23"/>
      <c r="H20" s="21"/>
    </row>
    <row r="21" spans="1:11" x14ac:dyDescent="0.25">
      <c r="A21" s="27"/>
      <c r="B21" s="28"/>
      <c r="C21" s="27"/>
      <c r="D21" s="27"/>
      <c r="E21" s="27"/>
      <c r="F21" s="27"/>
      <c r="G21" s="29"/>
      <c r="H21" s="27"/>
      <c r="I21" s="27"/>
    </row>
    <row r="22" spans="1:11" s="33" customFormat="1" x14ac:dyDescent="0.25">
      <c r="A22" s="30">
        <v>1</v>
      </c>
      <c r="B22" s="31" t="s">
        <v>122</v>
      </c>
      <c r="C22" s="124">
        <f>SUM(F3:F14)</f>
        <v>230491.06838356162</v>
      </c>
      <c r="F22" s="41"/>
      <c r="G22" s="42"/>
      <c r="J22" s="27"/>
      <c r="K22" s="20"/>
    </row>
    <row r="23" spans="1:11" s="33" customFormat="1" ht="13.5" x14ac:dyDescent="0.25">
      <c r="A23" s="30">
        <v>2</v>
      </c>
      <c r="B23" s="31" t="s">
        <v>123</v>
      </c>
      <c r="C23" s="124">
        <f>CEILING(F15, 100)</f>
        <v>42400</v>
      </c>
      <c r="F23" s="41"/>
      <c r="G23" s="42"/>
      <c r="K23" s="20"/>
    </row>
    <row r="24" spans="1:11" s="33" customFormat="1" x14ac:dyDescent="0.25">
      <c r="A24" s="30">
        <v>3</v>
      </c>
      <c r="B24" s="31" t="s">
        <v>161</v>
      </c>
      <c r="C24" s="124">
        <f t="shared" ref="C24:C25" si="4">CEILING(F16, 100)</f>
        <v>4200</v>
      </c>
      <c r="K24" s="20"/>
    </row>
    <row r="25" spans="1:11" s="33" customFormat="1" x14ac:dyDescent="0.25">
      <c r="A25" s="30">
        <v>4</v>
      </c>
      <c r="B25" s="63" t="s">
        <v>162</v>
      </c>
      <c r="C25" s="124">
        <f t="shared" si="4"/>
        <v>7200</v>
      </c>
      <c r="K25" s="20"/>
    </row>
    <row r="26" spans="1:11" s="33" customFormat="1" x14ac:dyDescent="0.25">
      <c r="A26" s="30">
        <v>5</v>
      </c>
      <c r="B26" s="31" t="s">
        <v>124</v>
      </c>
      <c r="C26" s="124"/>
      <c r="K26" s="20"/>
    </row>
    <row r="27" spans="1:11" s="33" customFormat="1" x14ac:dyDescent="0.25">
      <c r="A27" s="30"/>
      <c r="B27" s="31" t="s">
        <v>125</v>
      </c>
      <c r="C27" s="26">
        <f>SUM(C22:C26)</f>
        <v>284291.06838356162</v>
      </c>
      <c r="K27" s="20"/>
    </row>
    <row r="28" spans="1:11" x14ac:dyDescent="0.25">
      <c r="J28" s="33"/>
    </row>
    <row r="30" spans="1:11" x14ac:dyDescent="0.25">
      <c r="A30" s="23" t="s">
        <v>85</v>
      </c>
      <c r="B30" s="24" t="s">
        <v>57</v>
      </c>
      <c r="C30" s="23" t="s">
        <v>79</v>
      </c>
      <c r="D30" s="24" t="s">
        <v>129</v>
      </c>
      <c r="E30" s="23" t="s">
        <v>70</v>
      </c>
      <c r="F30" s="23" t="s">
        <v>71</v>
      </c>
      <c r="G30" s="23"/>
    </row>
    <row r="31" spans="1:11" x14ac:dyDescent="0.25">
      <c r="A31" s="23">
        <f>A3</f>
        <v>1</v>
      </c>
      <c r="B31" s="24" t="s">
        <v>59</v>
      </c>
      <c r="C31" s="23">
        <f t="shared" ref="C31:C42" si="5">C3</f>
        <v>2</v>
      </c>
      <c r="D31" s="25">
        <f>D3*$B$1</f>
        <v>230633.99999999997</v>
      </c>
      <c r="E31" s="24" t="s">
        <v>72</v>
      </c>
      <c r="F31" s="25">
        <f>D31*C31</f>
        <v>461267.99999999994</v>
      </c>
      <c r="G31" s="23"/>
    </row>
    <row r="32" spans="1:11" x14ac:dyDescent="0.25">
      <c r="A32" s="23">
        <f t="shared" ref="A32:A48" si="6">A4</f>
        <v>2</v>
      </c>
      <c r="B32" s="24" t="s">
        <v>60</v>
      </c>
      <c r="C32" s="23">
        <f t="shared" si="5"/>
        <v>168</v>
      </c>
      <c r="D32" s="25">
        <f t="shared" ref="D32:D42" si="7">D4*$B$1</f>
        <v>4635.7919999999995</v>
      </c>
      <c r="E32" s="24" t="s">
        <v>73</v>
      </c>
      <c r="F32" s="25">
        <f t="shared" ref="F32:F47" si="8">D32*C32</f>
        <v>778813.05599999987</v>
      </c>
      <c r="G32" s="23"/>
    </row>
    <row r="33" spans="1:7" x14ac:dyDescent="0.25">
      <c r="A33" s="23">
        <f t="shared" si="6"/>
        <v>3</v>
      </c>
      <c r="B33" s="24" t="s">
        <v>61</v>
      </c>
      <c r="C33" s="23">
        <f t="shared" si="5"/>
        <v>168</v>
      </c>
      <c r="D33" s="25">
        <f t="shared" si="7"/>
        <v>734.55227999999988</v>
      </c>
      <c r="E33" s="24" t="s">
        <v>73</v>
      </c>
      <c r="F33" s="25">
        <f t="shared" si="8"/>
        <v>123404.78303999998</v>
      </c>
      <c r="G33" s="23"/>
    </row>
    <row r="34" spans="1:7" x14ac:dyDescent="0.25">
      <c r="A34" s="23">
        <f t="shared" si="6"/>
        <v>4</v>
      </c>
      <c r="B34" s="24" t="s">
        <v>62</v>
      </c>
      <c r="C34" s="23">
        <f t="shared" si="5"/>
        <v>50</v>
      </c>
      <c r="D34" s="25">
        <f t="shared" si="7"/>
        <v>48.18</v>
      </c>
      <c r="E34" s="24" t="s">
        <v>74</v>
      </c>
      <c r="F34" s="25">
        <f t="shared" si="8"/>
        <v>2409</v>
      </c>
      <c r="G34" s="23"/>
    </row>
    <row r="35" spans="1:7" x14ac:dyDescent="0.25">
      <c r="A35" s="23">
        <f t="shared" si="6"/>
        <v>5</v>
      </c>
      <c r="B35" s="24" t="s">
        <v>63</v>
      </c>
      <c r="C35" s="23">
        <f t="shared" si="5"/>
        <v>1</v>
      </c>
      <c r="D35" s="25">
        <f t="shared" si="7"/>
        <v>25850.76</v>
      </c>
      <c r="E35" s="24" t="s">
        <v>73</v>
      </c>
      <c r="F35" s="25">
        <f t="shared" si="8"/>
        <v>25850.76</v>
      </c>
      <c r="G35" s="23"/>
    </row>
    <row r="36" spans="1:7" x14ac:dyDescent="0.25">
      <c r="A36" s="23">
        <f t="shared" si="6"/>
        <v>6</v>
      </c>
      <c r="B36" s="24" t="s">
        <v>163</v>
      </c>
      <c r="C36" s="23">
        <f t="shared" si="5"/>
        <v>1</v>
      </c>
      <c r="D36" s="25">
        <f t="shared" si="7"/>
        <v>490.56</v>
      </c>
      <c r="E36" s="24" t="s">
        <v>72</v>
      </c>
      <c r="F36" s="25">
        <f t="shared" si="8"/>
        <v>490.56</v>
      </c>
      <c r="G36" s="23"/>
    </row>
    <row r="37" spans="1:7" x14ac:dyDescent="0.25">
      <c r="A37" s="23">
        <f t="shared" si="6"/>
        <v>7</v>
      </c>
      <c r="B37" s="24" t="s">
        <v>64</v>
      </c>
      <c r="C37" s="23">
        <f t="shared" si="5"/>
        <v>2300</v>
      </c>
      <c r="D37" s="25">
        <f t="shared" si="7"/>
        <v>40.295999999999999</v>
      </c>
      <c r="E37" s="24" t="s">
        <v>75</v>
      </c>
      <c r="F37" s="25">
        <f t="shared" si="8"/>
        <v>92680.8</v>
      </c>
      <c r="G37" s="23"/>
    </row>
    <row r="38" spans="1:7" x14ac:dyDescent="0.25">
      <c r="A38" s="23">
        <f t="shared" si="6"/>
        <v>8</v>
      </c>
      <c r="B38" s="24" t="s">
        <v>65</v>
      </c>
      <c r="C38" s="23">
        <f t="shared" si="5"/>
        <v>100</v>
      </c>
      <c r="D38" s="25">
        <f t="shared" si="7"/>
        <v>4380</v>
      </c>
      <c r="E38" s="24" t="s">
        <v>75</v>
      </c>
      <c r="F38" s="25">
        <f t="shared" si="8"/>
        <v>438000</v>
      </c>
      <c r="G38" s="23"/>
    </row>
    <row r="39" spans="1:7" ht="13.5" x14ac:dyDescent="0.25">
      <c r="A39" s="23">
        <f t="shared" si="6"/>
        <v>9</v>
      </c>
      <c r="B39" s="24" t="s">
        <v>126</v>
      </c>
      <c r="C39" s="23">
        <f t="shared" si="5"/>
        <v>1</v>
      </c>
      <c r="D39" s="25">
        <f t="shared" si="7"/>
        <v>13227.6</v>
      </c>
      <c r="E39" s="24" t="s">
        <v>74</v>
      </c>
      <c r="F39" s="25">
        <f t="shared" si="8"/>
        <v>13227.6</v>
      </c>
      <c r="G39" s="23"/>
    </row>
    <row r="40" spans="1:7" x14ac:dyDescent="0.25">
      <c r="A40" s="23">
        <f t="shared" si="6"/>
        <v>10</v>
      </c>
      <c r="B40" s="24" t="s">
        <v>66</v>
      </c>
      <c r="C40" s="23">
        <f t="shared" si="5"/>
        <v>1</v>
      </c>
      <c r="D40" s="25">
        <f t="shared" si="7"/>
        <v>26280</v>
      </c>
      <c r="E40" s="24" t="s">
        <v>72</v>
      </c>
      <c r="F40" s="25">
        <f t="shared" si="8"/>
        <v>26280</v>
      </c>
      <c r="G40" s="23"/>
    </row>
    <row r="41" spans="1:7" x14ac:dyDescent="0.25">
      <c r="A41" s="23">
        <f t="shared" si="6"/>
        <v>11</v>
      </c>
      <c r="B41" s="24" t="s">
        <v>67</v>
      </c>
      <c r="C41" s="23">
        <f t="shared" si="5"/>
        <v>1</v>
      </c>
      <c r="D41" s="25">
        <f t="shared" si="7"/>
        <v>21987.599999999999</v>
      </c>
      <c r="E41" s="24" t="s">
        <v>72</v>
      </c>
      <c r="F41" s="25">
        <f t="shared" si="8"/>
        <v>21987.599999999999</v>
      </c>
      <c r="G41" s="23"/>
    </row>
    <row r="42" spans="1:7" x14ac:dyDescent="0.25">
      <c r="A42" s="23">
        <f t="shared" si="6"/>
        <v>12</v>
      </c>
      <c r="B42" s="24" t="s">
        <v>68</v>
      </c>
      <c r="C42" s="23">
        <f t="shared" si="5"/>
        <v>1</v>
      </c>
      <c r="D42" s="25">
        <f t="shared" si="7"/>
        <v>34689.599999999999</v>
      </c>
      <c r="E42" s="24" t="s">
        <v>72</v>
      </c>
      <c r="F42" s="25">
        <f t="shared" si="8"/>
        <v>34689.599999999999</v>
      </c>
      <c r="G42" s="23"/>
    </row>
    <row r="43" spans="1:7" x14ac:dyDescent="0.25">
      <c r="A43" s="23">
        <f t="shared" si="6"/>
        <v>13</v>
      </c>
      <c r="B43" s="24" t="s">
        <v>69</v>
      </c>
      <c r="C43" s="23">
        <v>1</v>
      </c>
      <c r="D43" s="25">
        <f>C23*$B$1</f>
        <v>371424</v>
      </c>
      <c r="E43" s="34" t="s">
        <v>76</v>
      </c>
      <c r="F43" s="25">
        <f t="shared" si="8"/>
        <v>371424</v>
      </c>
      <c r="G43" s="23"/>
    </row>
    <row r="44" spans="1:7" x14ac:dyDescent="0.25">
      <c r="A44" s="23">
        <f t="shared" si="6"/>
        <v>14</v>
      </c>
      <c r="B44" s="24" t="s">
        <v>58</v>
      </c>
      <c r="C44" s="23">
        <v>1</v>
      </c>
      <c r="D44" s="25">
        <f>C24*$B$1</f>
        <v>36792</v>
      </c>
      <c r="E44" s="34" t="s">
        <v>76</v>
      </c>
      <c r="F44" s="25">
        <f t="shared" si="8"/>
        <v>36792</v>
      </c>
      <c r="G44" s="23"/>
    </row>
    <row r="45" spans="1:7" x14ac:dyDescent="0.25">
      <c r="A45" s="23">
        <f t="shared" si="6"/>
        <v>15</v>
      </c>
      <c r="B45" s="24" t="s">
        <v>164</v>
      </c>
      <c r="C45" s="23">
        <f>C44</f>
        <v>1</v>
      </c>
      <c r="D45" s="25">
        <f>C25*$B$1</f>
        <v>63072</v>
      </c>
      <c r="E45" s="34" t="s">
        <v>76</v>
      </c>
      <c r="F45" s="25">
        <f t="shared" si="8"/>
        <v>63072</v>
      </c>
      <c r="G45" s="23"/>
    </row>
    <row r="46" spans="1:7" x14ac:dyDescent="0.25">
      <c r="A46" s="23">
        <f t="shared" si="6"/>
        <v>16</v>
      </c>
      <c r="B46" s="24" t="s">
        <v>77</v>
      </c>
      <c r="C46" s="23">
        <v>0</v>
      </c>
      <c r="D46" s="25"/>
      <c r="E46" s="22"/>
      <c r="F46" s="25">
        <f t="shared" si="8"/>
        <v>0</v>
      </c>
      <c r="G46" s="23"/>
    </row>
    <row r="47" spans="1:7" x14ac:dyDescent="0.25">
      <c r="A47" s="23">
        <f t="shared" si="6"/>
        <v>17</v>
      </c>
      <c r="B47" s="24" t="s">
        <v>78</v>
      </c>
      <c r="C47" s="23">
        <v>0</v>
      </c>
      <c r="D47" s="25"/>
      <c r="E47" s="22"/>
      <c r="F47" s="25">
        <f t="shared" si="8"/>
        <v>0</v>
      </c>
      <c r="G47" s="23"/>
    </row>
    <row r="48" spans="1:7" x14ac:dyDescent="0.25">
      <c r="A48" s="23">
        <f t="shared" si="6"/>
        <v>18</v>
      </c>
      <c r="G48" s="23"/>
    </row>
    <row r="49" spans="1:9" x14ac:dyDescent="0.25">
      <c r="A49" s="35"/>
      <c r="B49" s="36"/>
      <c r="C49" s="35" t="s">
        <v>127</v>
      </c>
    </row>
    <row r="50" spans="1:9" x14ac:dyDescent="0.25">
      <c r="A50" s="30">
        <v>1</v>
      </c>
      <c r="B50" s="31" t="s">
        <v>80</v>
      </c>
      <c r="C50" s="32">
        <f>SUM(F31:F42)</f>
        <v>2019101.7590400001</v>
      </c>
      <c r="F50" s="41">
        <f>C50/(1017*630)</f>
        <v>3.151350469073372</v>
      </c>
      <c r="G50" s="42" t="s">
        <v>130</v>
      </c>
    </row>
    <row r="51" spans="1:9" x14ac:dyDescent="0.25">
      <c r="A51" s="30">
        <v>2</v>
      </c>
      <c r="B51" s="37" t="s">
        <v>82</v>
      </c>
      <c r="C51" s="32">
        <f>F43</f>
        <v>371424</v>
      </c>
      <c r="F51" s="41">
        <f>C51/(1017*630)</f>
        <v>0.57970688767148948</v>
      </c>
      <c r="G51" s="42" t="s">
        <v>130</v>
      </c>
    </row>
    <row r="52" spans="1:9" x14ac:dyDescent="0.25">
      <c r="A52" s="30">
        <v>3</v>
      </c>
      <c r="B52" s="37" t="s">
        <v>81</v>
      </c>
      <c r="C52" s="32">
        <f t="shared" ref="C52:C54" si="9">F44</f>
        <v>36792</v>
      </c>
    </row>
    <row r="53" spans="1:9" x14ac:dyDescent="0.25">
      <c r="A53" s="30">
        <v>4</v>
      </c>
      <c r="B53" s="24" t="s">
        <v>164</v>
      </c>
      <c r="C53" s="32">
        <f t="shared" si="9"/>
        <v>63072</v>
      </c>
    </row>
    <row r="54" spans="1:9" x14ac:dyDescent="0.25">
      <c r="A54" s="30">
        <v>5</v>
      </c>
      <c r="B54" s="37" t="s">
        <v>83</v>
      </c>
      <c r="C54" s="32">
        <f t="shared" si="9"/>
        <v>0</v>
      </c>
    </row>
    <row r="55" spans="1:9" x14ac:dyDescent="0.25">
      <c r="A55" s="30"/>
      <c r="B55" s="37" t="s">
        <v>84</v>
      </c>
      <c r="C55" s="26">
        <f>SUM(C50:C54)</f>
        <v>2490389.7590399999</v>
      </c>
    </row>
    <row r="58" spans="1:9" ht="14" customHeight="1" x14ac:dyDescent="0.25">
      <c r="A58" s="151" t="s">
        <v>137</v>
      </c>
      <c r="B58" s="151"/>
      <c r="C58" s="151"/>
      <c r="D58" s="151"/>
    </row>
    <row r="59" spans="1:9" ht="14" x14ac:dyDescent="0.25">
      <c r="A59" s="87" t="s">
        <v>85</v>
      </c>
      <c r="B59" s="88" t="s">
        <v>57</v>
      </c>
      <c r="C59" s="87" t="s">
        <v>79</v>
      </c>
      <c r="D59" s="88" t="s">
        <v>129</v>
      </c>
      <c r="E59" s="87" t="s">
        <v>70</v>
      </c>
      <c r="F59" s="87" t="s">
        <v>71</v>
      </c>
      <c r="G59" s="87"/>
    </row>
    <row r="60" spans="1:9" x14ac:dyDescent="0.25">
      <c r="A60" s="23">
        <f>A3</f>
        <v>1</v>
      </c>
      <c r="B60" s="24" t="s">
        <v>59</v>
      </c>
      <c r="C60" s="23">
        <f>C31</f>
        <v>2</v>
      </c>
      <c r="D60" s="25">
        <f>_xlfn.CEILING.MATH(D31/H3,1)</f>
        <v>250690</v>
      </c>
      <c r="E60" s="24" t="s">
        <v>72</v>
      </c>
      <c r="F60" s="66">
        <f>D60*C60</f>
        <v>501380</v>
      </c>
      <c r="G60" s="23"/>
      <c r="H60" s="126"/>
      <c r="I60" s="126"/>
    </row>
    <row r="61" spans="1:9" x14ac:dyDescent="0.25">
      <c r="A61" s="23">
        <f t="shared" ref="A61:A76" si="10">A4</f>
        <v>2</v>
      </c>
      <c r="B61" s="24" t="s">
        <v>60</v>
      </c>
      <c r="C61" s="23">
        <f t="shared" ref="C61:C74" si="11">C32</f>
        <v>168</v>
      </c>
      <c r="D61" s="25">
        <f t="shared" ref="D61:D74" si="12">_xlfn.CEILING.MATH(D32/H4,1)</f>
        <v>5039</v>
      </c>
      <c r="E61" s="24" t="s">
        <v>73</v>
      </c>
      <c r="F61" s="66">
        <f t="shared" ref="F61:F76" si="13">D61*C61</f>
        <v>846552</v>
      </c>
      <c r="G61" s="23"/>
      <c r="H61" s="126"/>
      <c r="I61" s="126"/>
    </row>
    <row r="62" spans="1:9" x14ac:dyDescent="0.25">
      <c r="A62" s="23">
        <f t="shared" si="10"/>
        <v>3</v>
      </c>
      <c r="B62" s="24" t="s">
        <v>61</v>
      </c>
      <c r="C62" s="23">
        <f t="shared" si="11"/>
        <v>168</v>
      </c>
      <c r="D62" s="25">
        <f t="shared" si="12"/>
        <v>1050</v>
      </c>
      <c r="E62" s="24" t="s">
        <v>73</v>
      </c>
      <c r="F62" s="66">
        <f t="shared" si="13"/>
        <v>176400</v>
      </c>
      <c r="G62" s="23"/>
      <c r="H62" s="126"/>
      <c r="I62" s="126"/>
    </row>
    <row r="63" spans="1:9" x14ac:dyDescent="0.25">
      <c r="A63" s="23">
        <f t="shared" si="10"/>
        <v>4</v>
      </c>
      <c r="B63" s="24" t="s">
        <v>62</v>
      </c>
      <c r="C63" s="23">
        <f t="shared" si="11"/>
        <v>50</v>
      </c>
      <c r="D63" s="25">
        <f t="shared" si="12"/>
        <v>69</v>
      </c>
      <c r="E63" s="24" t="s">
        <v>74</v>
      </c>
      <c r="F63" s="66">
        <f t="shared" si="13"/>
        <v>3450</v>
      </c>
      <c r="G63" s="23"/>
      <c r="H63" s="126"/>
      <c r="I63" s="126"/>
    </row>
    <row r="64" spans="1:9" x14ac:dyDescent="0.25">
      <c r="A64" s="23">
        <f t="shared" si="10"/>
        <v>5</v>
      </c>
      <c r="B64" s="24" t="s">
        <v>63</v>
      </c>
      <c r="C64" s="23">
        <f t="shared" si="11"/>
        <v>1</v>
      </c>
      <c r="D64" s="25">
        <f t="shared" si="12"/>
        <v>36930</v>
      </c>
      <c r="E64" s="24" t="s">
        <v>73</v>
      </c>
      <c r="F64" s="66">
        <f t="shared" si="13"/>
        <v>36930</v>
      </c>
      <c r="G64" s="23"/>
      <c r="H64" s="126"/>
      <c r="I64" s="126"/>
    </row>
    <row r="65" spans="1:9" x14ac:dyDescent="0.25">
      <c r="A65" s="23">
        <f t="shared" si="10"/>
        <v>6</v>
      </c>
      <c r="B65" s="24" t="s">
        <v>163</v>
      </c>
      <c r="C65" s="23">
        <f t="shared" si="11"/>
        <v>1</v>
      </c>
      <c r="D65" s="25">
        <f t="shared" si="12"/>
        <v>701</v>
      </c>
      <c r="E65" s="24" t="s">
        <v>72</v>
      </c>
      <c r="F65" s="66">
        <f t="shared" si="13"/>
        <v>701</v>
      </c>
      <c r="G65" s="23"/>
      <c r="H65" s="126"/>
      <c r="I65" s="126"/>
    </row>
    <row r="66" spans="1:9" x14ac:dyDescent="0.25">
      <c r="A66" s="23">
        <f t="shared" si="10"/>
        <v>7</v>
      </c>
      <c r="B66" s="24" t="s">
        <v>64</v>
      </c>
      <c r="C66" s="23">
        <f t="shared" si="11"/>
        <v>2300</v>
      </c>
      <c r="D66" s="25">
        <f t="shared" si="12"/>
        <v>58</v>
      </c>
      <c r="E66" s="24" t="s">
        <v>75</v>
      </c>
      <c r="F66" s="66">
        <f t="shared" si="13"/>
        <v>133400</v>
      </c>
      <c r="G66" s="23"/>
      <c r="H66" s="126"/>
      <c r="I66" s="126"/>
    </row>
    <row r="67" spans="1:9" x14ac:dyDescent="0.25">
      <c r="A67" s="23">
        <f t="shared" si="10"/>
        <v>8</v>
      </c>
      <c r="B67" s="24" t="s">
        <v>65</v>
      </c>
      <c r="C67" s="23">
        <f t="shared" si="11"/>
        <v>100</v>
      </c>
      <c r="D67" s="25">
        <f t="shared" si="12"/>
        <v>6258</v>
      </c>
      <c r="E67" s="24" t="s">
        <v>75</v>
      </c>
      <c r="F67" s="66">
        <f t="shared" si="13"/>
        <v>625800</v>
      </c>
      <c r="G67" s="23"/>
      <c r="H67" s="126"/>
      <c r="I67" s="126"/>
    </row>
    <row r="68" spans="1:9" ht="13.5" x14ac:dyDescent="0.25">
      <c r="A68" s="23">
        <f t="shared" si="10"/>
        <v>9</v>
      </c>
      <c r="B68" s="24" t="s">
        <v>126</v>
      </c>
      <c r="C68" s="23">
        <f t="shared" si="11"/>
        <v>1</v>
      </c>
      <c r="D68" s="25">
        <f t="shared" si="12"/>
        <v>18897</v>
      </c>
      <c r="E68" s="24" t="s">
        <v>74</v>
      </c>
      <c r="F68" s="66">
        <f t="shared" si="13"/>
        <v>18897</v>
      </c>
      <c r="G68" s="23"/>
      <c r="H68" s="126"/>
      <c r="I68" s="126"/>
    </row>
    <row r="69" spans="1:9" x14ac:dyDescent="0.25">
      <c r="A69" s="23">
        <f t="shared" si="10"/>
        <v>10</v>
      </c>
      <c r="B69" s="24" t="s">
        <v>66</v>
      </c>
      <c r="C69" s="23">
        <f t="shared" si="11"/>
        <v>1</v>
      </c>
      <c r="D69" s="25">
        <f t="shared" si="12"/>
        <v>37543</v>
      </c>
      <c r="E69" s="24" t="s">
        <v>72</v>
      </c>
      <c r="F69" s="66">
        <f t="shared" si="13"/>
        <v>37543</v>
      </c>
      <c r="G69" s="23"/>
      <c r="H69" s="126"/>
      <c r="I69" s="126"/>
    </row>
    <row r="70" spans="1:9" x14ac:dyDescent="0.25">
      <c r="A70" s="23">
        <f t="shared" si="10"/>
        <v>11</v>
      </c>
      <c r="B70" s="24" t="s">
        <v>67</v>
      </c>
      <c r="C70" s="23">
        <f t="shared" si="11"/>
        <v>1</v>
      </c>
      <c r="D70" s="25">
        <f t="shared" si="12"/>
        <v>31411</v>
      </c>
      <c r="E70" s="24" t="s">
        <v>72</v>
      </c>
      <c r="F70" s="66">
        <f t="shared" si="13"/>
        <v>31411</v>
      </c>
      <c r="G70" s="23"/>
      <c r="H70" s="126"/>
      <c r="I70" s="126"/>
    </row>
    <row r="71" spans="1:9" x14ac:dyDescent="0.25">
      <c r="A71" s="23">
        <f t="shared" si="10"/>
        <v>12</v>
      </c>
      <c r="B71" s="24" t="s">
        <v>68</v>
      </c>
      <c r="C71" s="23">
        <f t="shared" si="11"/>
        <v>1</v>
      </c>
      <c r="D71" s="25">
        <f t="shared" si="12"/>
        <v>49557</v>
      </c>
      <c r="E71" s="24" t="s">
        <v>72</v>
      </c>
      <c r="F71" s="66">
        <f t="shared" si="13"/>
        <v>49557</v>
      </c>
      <c r="G71" s="23"/>
      <c r="H71" s="126"/>
      <c r="I71" s="126"/>
    </row>
    <row r="72" spans="1:9" x14ac:dyDescent="0.25">
      <c r="A72" s="23">
        <f t="shared" si="10"/>
        <v>13</v>
      </c>
      <c r="B72" s="24" t="s">
        <v>69</v>
      </c>
      <c r="C72" s="23">
        <f t="shared" si="11"/>
        <v>1</v>
      </c>
      <c r="D72" s="25">
        <f t="shared" si="12"/>
        <v>530606</v>
      </c>
      <c r="E72" s="34" t="s">
        <v>76</v>
      </c>
      <c r="F72" s="66">
        <f t="shared" si="13"/>
        <v>530606</v>
      </c>
      <c r="G72" s="23"/>
      <c r="H72" s="126"/>
      <c r="I72" s="126"/>
    </row>
    <row r="73" spans="1:9" x14ac:dyDescent="0.25">
      <c r="A73" s="23">
        <f t="shared" si="10"/>
        <v>14</v>
      </c>
      <c r="B73" s="24" t="s">
        <v>58</v>
      </c>
      <c r="C73" s="23">
        <f t="shared" si="11"/>
        <v>1</v>
      </c>
      <c r="D73" s="25">
        <f t="shared" si="12"/>
        <v>52560</v>
      </c>
      <c r="E73" s="34" t="s">
        <v>76</v>
      </c>
      <c r="F73" s="66">
        <f t="shared" si="13"/>
        <v>52560</v>
      </c>
      <c r="G73" s="23"/>
      <c r="H73" s="126"/>
      <c r="I73" s="126"/>
    </row>
    <row r="74" spans="1:9" x14ac:dyDescent="0.25">
      <c r="A74" s="23">
        <f t="shared" si="10"/>
        <v>15</v>
      </c>
      <c r="B74" s="24" t="s">
        <v>164</v>
      </c>
      <c r="C74" s="23">
        <f t="shared" si="11"/>
        <v>1</v>
      </c>
      <c r="D74" s="25">
        <f t="shared" si="12"/>
        <v>63072</v>
      </c>
      <c r="E74" s="34" t="s">
        <v>76</v>
      </c>
      <c r="F74" s="66">
        <f t="shared" si="13"/>
        <v>63072</v>
      </c>
      <c r="G74" s="23"/>
      <c r="H74" s="126"/>
      <c r="I74" s="126"/>
    </row>
    <row r="75" spans="1:9" x14ac:dyDescent="0.25">
      <c r="A75" s="23">
        <f t="shared" si="10"/>
        <v>16</v>
      </c>
      <c r="B75" s="24" t="s">
        <v>77</v>
      </c>
      <c r="C75" s="23">
        <v>0</v>
      </c>
      <c r="D75" s="25"/>
      <c r="E75" s="22"/>
      <c r="F75" s="25">
        <f t="shared" si="13"/>
        <v>0</v>
      </c>
      <c r="G75" s="23"/>
      <c r="H75" s="126"/>
      <c r="I75" s="126"/>
    </row>
    <row r="76" spans="1:9" x14ac:dyDescent="0.25">
      <c r="A76" s="23">
        <f t="shared" si="10"/>
        <v>17</v>
      </c>
      <c r="B76" s="24" t="s">
        <v>78</v>
      </c>
      <c r="C76" s="23">
        <v>0</v>
      </c>
      <c r="D76" s="25"/>
      <c r="E76" s="22"/>
      <c r="F76" s="25">
        <f t="shared" si="13"/>
        <v>0</v>
      </c>
      <c r="G76" s="23"/>
    </row>
    <row r="77" spans="1:9" x14ac:dyDescent="0.25">
      <c r="A77" s="23">
        <f t="shared" ref="A77" si="14">A49</f>
        <v>0</v>
      </c>
      <c r="G77" s="23"/>
    </row>
    <row r="79" spans="1:9" x14ac:dyDescent="0.25">
      <c r="A79" s="30">
        <v>1</v>
      </c>
      <c r="B79" s="31" t="s">
        <v>80</v>
      </c>
      <c r="C79" s="125">
        <f>SUM(F60:F71)</f>
        <v>2462021</v>
      </c>
      <c r="F79" s="41">
        <f>C79/(1017*630)</f>
        <v>3.8426448783380938</v>
      </c>
      <c r="G79" s="42" t="s">
        <v>130</v>
      </c>
    </row>
    <row r="80" spans="1:9" x14ac:dyDescent="0.25">
      <c r="A80" s="30">
        <v>2</v>
      </c>
      <c r="B80" s="37" t="s">
        <v>82</v>
      </c>
      <c r="C80" s="125">
        <f>F72</f>
        <v>530606</v>
      </c>
      <c r="F80" s="41">
        <f>C80/(1017*630)</f>
        <v>0.8281531426074199</v>
      </c>
      <c r="G80" s="42" t="s">
        <v>130</v>
      </c>
    </row>
    <row r="81" spans="1:7" x14ac:dyDescent="0.25">
      <c r="A81" s="30">
        <v>3</v>
      </c>
      <c r="B81" s="37" t="s">
        <v>81</v>
      </c>
      <c r="C81" s="125">
        <f t="shared" ref="C81:C82" si="15">F73</f>
        <v>52560</v>
      </c>
    </row>
    <row r="82" spans="1:7" x14ac:dyDescent="0.25">
      <c r="A82" s="30">
        <v>4</v>
      </c>
      <c r="B82" s="24" t="s">
        <v>164</v>
      </c>
      <c r="C82" s="125">
        <f t="shared" si="15"/>
        <v>63072</v>
      </c>
    </row>
    <row r="83" spans="1:7" x14ac:dyDescent="0.25">
      <c r="A83" s="30">
        <v>5</v>
      </c>
      <c r="B83" s="37" t="s">
        <v>83</v>
      </c>
      <c r="C83" s="124"/>
    </row>
    <row r="84" spans="1:7" x14ac:dyDescent="0.25">
      <c r="A84" s="30"/>
      <c r="B84" s="37" t="s">
        <v>84</v>
      </c>
      <c r="C84" s="67">
        <f>SUM(C79:C83)</f>
        <v>3108259</v>
      </c>
      <c r="D84" s="89">
        <f>C84/(630*C61)</f>
        <v>29.367526455026454</v>
      </c>
    </row>
    <row r="89" spans="1:7" x14ac:dyDescent="0.25">
      <c r="G89" s="116"/>
    </row>
    <row r="90" spans="1:7" x14ac:dyDescent="0.25">
      <c r="D90" s="127"/>
    </row>
    <row r="91" spans="1:7" x14ac:dyDescent="0.25">
      <c r="D91" s="127"/>
    </row>
    <row r="92" spans="1:7" x14ac:dyDescent="0.25">
      <c r="D92" s="127"/>
    </row>
    <row r="93" spans="1:7" x14ac:dyDescent="0.25">
      <c r="D93" s="127"/>
    </row>
    <row r="94" spans="1:7" x14ac:dyDescent="0.25">
      <c r="D94" s="127"/>
    </row>
    <row r="95" spans="1:7" x14ac:dyDescent="0.25">
      <c r="D95" s="127"/>
    </row>
    <row r="96" spans="1:7" x14ac:dyDescent="0.25">
      <c r="D96" s="127"/>
    </row>
  </sheetData>
  <mergeCells count="1">
    <mergeCell ref="A58:D58"/>
  </mergeCells>
  <phoneticPr fontId="1" type="noConversion"/>
  <pageMargins left="0.75" right="0.75" top="1" bottom="1" header="0.5" footer="0.5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6D80A-2130-45B0-926C-CA60F5CDA5E6}">
  <dimension ref="A1:V59"/>
  <sheetViews>
    <sheetView topLeftCell="A20" zoomScale="85" zoomScaleNormal="85" workbookViewId="0">
      <selection activeCell="G9" sqref="G9"/>
    </sheetView>
  </sheetViews>
  <sheetFormatPr defaultColWidth="12.81640625" defaultRowHeight="13" x14ac:dyDescent="0.25"/>
  <cols>
    <col min="1" max="1" width="21.90625" style="33" bestFit="1" customWidth="1"/>
    <col min="2" max="2" width="12.90625" style="33" bestFit="1" customWidth="1"/>
    <col min="3" max="3" width="10.453125" style="33" bestFit="1" customWidth="1"/>
    <col min="4" max="4" width="11.453125" style="33" bestFit="1" customWidth="1"/>
    <col min="5" max="5" width="12.90625" style="33" bestFit="1" customWidth="1"/>
    <col min="6" max="6" width="11.453125" style="33" bestFit="1" customWidth="1"/>
    <col min="7" max="8" width="12.453125" style="33" bestFit="1" customWidth="1"/>
    <col min="9" max="9" width="10.453125" style="33" bestFit="1" customWidth="1"/>
    <col min="10" max="10" width="15.08984375" style="33" bestFit="1" customWidth="1"/>
    <col min="11" max="11" width="10.453125" style="33" bestFit="1" customWidth="1"/>
    <col min="12" max="12" width="12.90625" style="33" bestFit="1" customWidth="1"/>
    <col min="13" max="13" width="10.453125" style="33" bestFit="1" customWidth="1"/>
    <col min="14" max="14" width="12.90625" style="33" bestFit="1" customWidth="1"/>
    <col min="15" max="15" width="11.90625" style="33" bestFit="1" customWidth="1"/>
    <col min="16" max="16" width="9.54296875" style="33" bestFit="1" customWidth="1"/>
    <col min="17" max="17" width="7.7265625" style="33" bestFit="1" customWidth="1"/>
    <col min="18" max="18" width="6.81640625" style="33" bestFit="1" customWidth="1"/>
    <col min="19" max="19" width="10.08984375" style="33" bestFit="1" customWidth="1"/>
    <col min="20" max="20" width="6.90625" style="33" bestFit="1" customWidth="1"/>
    <col min="21" max="21" width="5" style="33" bestFit="1" customWidth="1"/>
    <col min="22" max="23" width="4.90625" style="33" bestFit="1" customWidth="1"/>
    <col min="24" max="16384" width="12.81640625" style="33"/>
  </cols>
  <sheetData>
    <row r="1" spans="1:22" x14ac:dyDescent="0.25">
      <c r="A1" s="33" t="s">
        <v>131</v>
      </c>
      <c r="B1" s="43">
        <f>'成本&amp;报价'!B1</f>
        <v>8.76</v>
      </c>
    </row>
    <row r="2" spans="1:22" s="47" customFormat="1" ht="26" x14ac:dyDescent="0.25">
      <c r="A2" s="44"/>
      <c r="B2" s="45" t="s">
        <v>56</v>
      </c>
      <c r="C2" s="44" t="s">
        <v>55</v>
      </c>
      <c r="D2" s="44" t="s">
        <v>41</v>
      </c>
      <c r="E2" s="46" t="s">
        <v>54</v>
      </c>
      <c r="F2" s="44" t="s">
        <v>41</v>
      </c>
      <c r="G2" s="44" t="s">
        <v>53</v>
      </c>
      <c r="H2" s="44" t="s">
        <v>41</v>
      </c>
      <c r="I2" s="44" t="s">
        <v>52</v>
      </c>
      <c r="J2" s="46" t="s">
        <v>51</v>
      </c>
      <c r="K2" s="44" t="s">
        <v>50</v>
      </c>
      <c r="L2" s="44" t="s">
        <v>49</v>
      </c>
      <c r="M2" s="46" t="s">
        <v>48</v>
      </c>
      <c r="N2" s="44" t="s">
        <v>47</v>
      </c>
      <c r="O2" s="44" t="s">
        <v>46</v>
      </c>
      <c r="P2" s="44" t="s">
        <v>45</v>
      </c>
      <c r="Q2" s="44" t="s">
        <v>44</v>
      </c>
      <c r="R2" s="44" t="s">
        <v>43</v>
      </c>
      <c r="S2" s="44" t="s">
        <v>42</v>
      </c>
      <c r="T2" s="44" t="s">
        <v>41</v>
      </c>
      <c r="U2" s="44" t="s">
        <v>132</v>
      </c>
      <c r="V2" s="44" t="s">
        <v>133</v>
      </c>
    </row>
    <row r="3" spans="1:22" x14ac:dyDescent="0.25">
      <c r="A3" s="48" t="s">
        <v>13</v>
      </c>
      <c r="B3" s="49">
        <f t="shared" ref="B3:B14" si="0">C3*(1+D3)+G3*(1+H3)+(I3+L3+N3+O3+P3+R3+S3+Q3)*(1+T3)</f>
        <v>9.1848919599999999</v>
      </c>
      <c r="C3" s="48">
        <v>6.8357999999999999</v>
      </c>
      <c r="D3" s="50">
        <v>0.11219999999999999</v>
      </c>
      <c r="E3" s="51">
        <v>293.27999999999997</v>
      </c>
      <c r="F3" s="50">
        <v>0.10390000000000001</v>
      </c>
      <c r="G3" s="48">
        <v>0.63600000000000001</v>
      </c>
      <c r="H3" s="50">
        <v>0.11119999999999999</v>
      </c>
      <c r="I3" s="48">
        <v>0.13389999999999999</v>
      </c>
      <c r="J3" s="51">
        <v>232.2</v>
      </c>
      <c r="K3" s="48">
        <v>827.54</v>
      </c>
      <c r="L3" s="48">
        <v>0.33500000000000002</v>
      </c>
      <c r="M3" s="51">
        <v>831.72</v>
      </c>
      <c r="N3" s="48">
        <v>3.8999999999999998E-3</v>
      </c>
      <c r="O3" s="48">
        <v>0.18049999999999999</v>
      </c>
      <c r="P3" s="48">
        <v>1.6999999999999999E-3</v>
      </c>
      <c r="Q3" s="48">
        <v>0</v>
      </c>
      <c r="R3" s="48">
        <v>4.2799999999999998E-2</v>
      </c>
      <c r="S3" s="48">
        <v>8.3799999999999999E-2</v>
      </c>
      <c r="T3" s="50">
        <v>0.12</v>
      </c>
      <c r="U3" s="48"/>
      <c r="V3" s="48"/>
    </row>
    <row r="4" spans="1:22" x14ac:dyDescent="0.25">
      <c r="A4" s="48" t="s">
        <v>1</v>
      </c>
      <c r="B4" s="49">
        <f t="shared" si="0"/>
        <v>9.6751469700000001</v>
      </c>
      <c r="C4" s="48">
        <v>7.2202999999999999</v>
      </c>
      <c r="D4" s="50">
        <v>0.11260000000000001</v>
      </c>
      <c r="E4" s="51">
        <v>285.62</v>
      </c>
      <c r="F4" s="50">
        <v>0.10440000000000001</v>
      </c>
      <c r="G4" s="48">
        <v>0.67069999999999996</v>
      </c>
      <c r="H4" s="50">
        <v>0.11169999999999999</v>
      </c>
      <c r="I4" s="48">
        <v>0.13389999999999999</v>
      </c>
      <c r="J4" s="51">
        <v>232.2</v>
      </c>
      <c r="K4" s="48">
        <v>827.54</v>
      </c>
      <c r="L4" s="48">
        <v>0.33500000000000002</v>
      </c>
      <c r="M4" s="51">
        <v>831.72</v>
      </c>
      <c r="N4" s="48">
        <v>5.4000000000000003E-3</v>
      </c>
      <c r="O4" s="48">
        <v>0.19489999999999999</v>
      </c>
      <c r="P4" s="48">
        <v>4.4000000000000003E-3</v>
      </c>
      <c r="Q4" s="48">
        <v>0</v>
      </c>
      <c r="R4" s="48">
        <v>4.2799999999999998E-2</v>
      </c>
      <c r="S4" s="48">
        <v>8.3799999999999999E-2</v>
      </c>
      <c r="T4" s="50">
        <v>0.12</v>
      </c>
      <c r="U4" s="48"/>
      <c r="V4" s="48"/>
    </row>
    <row r="5" spans="1:22" x14ac:dyDescent="0.25">
      <c r="A5" s="48" t="s">
        <v>2</v>
      </c>
      <c r="B5" s="49">
        <f t="shared" si="0"/>
        <v>9.5470555700000013</v>
      </c>
      <c r="C5" s="48">
        <v>7.0517000000000003</v>
      </c>
      <c r="D5" s="50">
        <v>0.1153</v>
      </c>
      <c r="E5" s="51">
        <v>325.14</v>
      </c>
      <c r="F5" s="50">
        <v>0.1032</v>
      </c>
      <c r="G5" s="48">
        <v>0.6704</v>
      </c>
      <c r="H5" s="50">
        <v>0.1139</v>
      </c>
      <c r="I5" s="48">
        <v>0.13389999999999999</v>
      </c>
      <c r="J5" s="51">
        <v>232.2</v>
      </c>
      <c r="K5" s="48">
        <v>827.54</v>
      </c>
      <c r="L5" s="48">
        <v>0.33500000000000002</v>
      </c>
      <c r="M5" s="51">
        <v>831.72</v>
      </c>
      <c r="N5" s="48">
        <v>5.4000000000000003E-3</v>
      </c>
      <c r="O5" s="48">
        <v>0.19489999999999999</v>
      </c>
      <c r="P5" s="48">
        <v>4.4000000000000003E-3</v>
      </c>
      <c r="Q5" s="48">
        <v>0</v>
      </c>
      <c r="R5" s="48">
        <v>4.2799999999999998E-2</v>
      </c>
      <c r="S5" s="48">
        <v>0.11890000000000001</v>
      </c>
      <c r="T5" s="50">
        <v>0.12</v>
      </c>
      <c r="U5" s="48"/>
      <c r="V5" s="48"/>
    </row>
    <row r="6" spans="1:22" x14ac:dyDescent="0.25">
      <c r="A6" s="48" t="s">
        <v>3</v>
      </c>
      <c r="B6" s="49">
        <f t="shared" si="0"/>
        <v>10.398406569999999</v>
      </c>
      <c r="C6" s="48">
        <v>7.7794999999999996</v>
      </c>
      <c r="D6" s="50">
        <v>0.1113</v>
      </c>
      <c r="E6" s="51">
        <v>370.13</v>
      </c>
      <c r="F6" s="50">
        <v>0.1082</v>
      </c>
      <c r="G6" s="48">
        <v>0.73580000000000001</v>
      </c>
      <c r="H6" s="50">
        <v>0.1109</v>
      </c>
      <c r="I6" s="48">
        <v>0.13389999999999999</v>
      </c>
      <c r="J6" s="51">
        <v>232.2</v>
      </c>
      <c r="K6" s="48">
        <v>827.54</v>
      </c>
      <c r="L6" s="48">
        <v>0.33500000000000002</v>
      </c>
      <c r="M6" s="51">
        <v>831.72</v>
      </c>
      <c r="N6" s="48">
        <v>5.4999999999999997E-3</v>
      </c>
      <c r="O6" s="48">
        <v>0.19489999999999999</v>
      </c>
      <c r="P6" s="48">
        <v>4.4000000000000003E-3</v>
      </c>
      <c r="Q6" s="48">
        <v>0</v>
      </c>
      <c r="R6" s="48">
        <v>4.2799999999999998E-2</v>
      </c>
      <c r="S6" s="48">
        <v>0.11890000000000001</v>
      </c>
      <c r="T6" s="50">
        <v>0.12</v>
      </c>
      <c r="U6" s="48"/>
      <c r="V6" s="48"/>
    </row>
    <row r="7" spans="1:22" x14ac:dyDescent="0.25">
      <c r="A7" s="48" t="s">
        <v>4</v>
      </c>
      <c r="B7" s="49">
        <f t="shared" si="0"/>
        <v>9.9851299199999985</v>
      </c>
      <c r="C7" s="48">
        <v>7.4650999999999996</v>
      </c>
      <c r="D7" s="50">
        <v>0.11219999999999999</v>
      </c>
      <c r="E7" s="51">
        <v>273.68</v>
      </c>
      <c r="F7" s="50">
        <v>0.1076</v>
      </c>
      <c r="G7" s="48">
        <v>0.67149999999999999</v>
      </c>
      <c r="H7" s="50">
        <v>0.1118</v>
      </c>
      <c r="I7" s="48">
        <v>0.13389999999999999</v>
      </c>
      <c r="J7" s="51">
        <v>232.2</v>
      </c>
      <c r="K7" s="48">
        <v>827.54</v>
      </c>
      <c r="L7" s="48">
        <v>0.33500000000000002</v>
      </c>
      <c r="M7" s="51">
        <v>831.72</v>
      </c>
      <c r="N7" s="48">
        <v>5.7000000000000002E-3</v>
      </c>
      <c r="O7" s="48">
        <v>0.19489999999999999</v>
      </c>
      <c r="P7" s="48">
        <v>4.4000000000000003E-3</v>
      </c>
      <c r="Q7" s="48">
        <v>0</v>
      </c>
      <c r="R7" s="48">
        <v>4.2799999999999998E-2</v>
      </c>
      <c r="S7" s="48">
        <v>0.11890000000000001</v>
      </c>
      <c r="T7" s="50">
        <v>0.12</v>
      </c>
      <c r="U7" s="48"/>
      <c r="V7" s="48"/>
    </row>
    <row r="8" spans="1:22" x14ac:dyDescent="0.25">
      <c r="A8" s="48" t="s">
        <v>5</v>
      </c>
      <c r="B8" s="49">
        <f t="shared" si="0"/>
        <v>9.85634458</v>
      </c>
      <c r="C8" s="48">
        <v>7.3552</v>
      </c>
      <c r="D8" s="50">
        <v>0.1143</v>
      </c>
      <c r="E8" s="51">
        <v>276.79000000000002</v>
      </c>
      <c r="F8" s="50">
        <v>0.108</v>
      </c>
      <c r="G8" s="48">
        <v>0.65059999999999996</v>
      </c>
      <c r="H8" s="50">
        <v>0.1137</v>
      </c>
      <c r="I8" s="48">
        <v>0.13389999999999999</v>
      </c>
      <c r="J8" s="51">
        <v>232.2</v>
      </c>
      <c r="K8" s="48">
        <v>827.54</v>
      </c>
      <c r="L8" s="48">
        <v>0.33500000000000002</v>
      </c>
      <c r="M8" s="51">
        <v>831.72</v>
      </c>
      <c r="N8" s="48">
        <v>5.7000000000000002E-3</v>
      </c>
      <c r="O8" s="48">
        <v>0.19489999999999999</v>
      </c>
      <c r="P8" s="48">
        <v>4.4000000000000003E-3</v>
      </c>
      <c r="Q8" s="48">
        <v>0</v>
      </c>
      <c r="R8" s="48">
        <v>4.2799999999999998E-2</v>
      </c>
      <c r="S8" s="48">
        <v>0.11890000000000001</v>
      </c>
      <c r="T8" s="50">
        <v>0.12</v>
      </c>
      <c r="U8" s="48"/>
      <c r="V8" s="48"/>
    </row>
    <row r="9" spans="1:22" x14ac:dyDescent="0.25">
      <c r="A9" s="48" t="s">
        <v>6</v>
      </c>
      <c r="B9" s="49">
        <f t="shared" si="0"/>
        <v>10.261719189999999</v>
      </c>
      <c r="C9" s="48">
        <v>7.6959</v>
      </c>
      <c r="D9" s="50">
        <v>0.1147</v>
      </c>
      <c r="E9" s="51">
        <v>295.5</v>
      </c>
      <c r="F9" s="50">
        <v>0.1081</v>
      </c>
      <c r="G9" s="48">
        <v>0.67059999999999997</v>
      </c>
      <c r="H9" s="50">
        <v>0.11409999999999999</v>
      </c>
      <c r="I9" s="48">
        <v>0.13389999999999999</v>
      </c>
      <c r="J9" s="51">
        <v>232.2</v>
      </c>
      <c r="K9" s="48">
        <v>827.54</v>
      </c>
      <c r="L9" s="48">
        <v>0.33500000000000002</v>
      </c>
      <c r="M9" s="51">
        <v>831.72</v>
      </c>
      <c r="N9" s="48">
        <v>5.7999999999999996E-3</v>
      </c>
      <c r="O9" s="48">
        <v>0.19489999999999999</v>
      </c>
      <c r="P9" s="48">
        <v>4.4000000000000003E-3</v>
      </c>
      <c r="Q9" s="48">
        <v>0</v>
      </c>
      <c r="R9" s="48">
        <v>4.2799999999999998E-2</v>
      </c>
      <c r="S9" s="48">
        <v>0.11890000000000001</v>
      </c>
      <c r="T9" s="50">
        <v>0.12</v>
      </c>
      <c r="U9" s="48"/>
      <c r="V9" s="48"/>
    </row>
    <row r="10" spans="1:22" x14ac:dyDescent="0.25">
      <c r="A10" s="48" t="s">
        <v>7</v>
      </c>
      <c r="B10" s="49">
        <f t="shared" si="0"/>
        <v>10.74160066</v>
      </c>
      <c r="C10" s="48">
        <v>8.0708000000000002</v>
      </c>
      <c r="D10" s="50">
        <v>0.1172</v>
      </c>
      <c r="E10" s="51">
        <v>336.63</v>
      </c>
      <c r="F10" s="50">
        <v>0.10979999999999999</v>
      </c>
      <c r="G10" s="48">
        <v>0.70660000000000001</v>
      </c>
      <c r="H10" s="50">
        <v>0.11650000000000001</v>
      </c>
      <c r="I10" s="48">
        <v>0.13389999999999999</v>
      </c>
      <c r="J10" s="51">
        <v>232.2</v>
      </c>
      <c r="K10" s="48">
        <v>827.54</v>
      </c>
      <c r="L10" s="48">
        <v>0.33500000000000002</v>
      </c>
      <c r="M10" s="51">
        <v>831.72</v>
      </c>
      <c r="N10" s="48">
        <v>5.7999999999999996E-3</v>
      </c>
      <c r="O10" s="48">
        <v>0.19489999999999999</v>
      </c>
      <c r="P10" s="48">
        <v>4.4000000000000003E-3</v>
      </c>
      <c r="Q10" s="48">
        <v>0</v>
      </c>
      <c r="R10" s="48">
        <v>4.2799999999999998E-2</v>
      </c>
      <c r="S10" s="48">
        <v>0.11890000000000001</v>
      </c>
      <c r="T10" s="50">
        <v>0.12</v>
      </c>
      <c r="U10" s="48"/>
      <c r="V10" s="48"/>
    </row>
    <row r="11" spans="1:22" x14ac:dyDescent="0.25">
      <c r="A11" s="48" t="s">
        <v>8</v>
      </c>
      <c r="B11" s="49">
        <f t="shared" si="0"/>
        <v>10.427682949999999</v>
      </c>
      <c r="C11" s="48">
        <v>7.8105000000000002</v>
      </c>
      <c r="D11" s="50">
        <v>0.11700000000000001</v>
      </c>
      <c r="E11" s="51">
        <v>387.72</v>
      </c>
      <c r="F11" s="50">
        <v>0.11169999999999999</v>
      </c>
      <c r="G11" s="48">
        <v>0.68730000000000002</v>
      </c>
      <c r="H11" s="50">
        <v>0.11650000000000001</v>
      </c>
      <c r="I11" s="48">
        <v>0.13389999999999999</v>
      </c>
      <c r="J11" s="51">
        <v>232.2</v>
      </c>
      <c r="K11" s="48">
        <v>827.54</v>
      </c>
      <c r="L11" s="48">
        <v>0.33500000000000002</v>
      </c>
      <c r="M11" s="51">
        <v>831.72</v>
      </c>
      <c r="N11" s="48">
        <v>5.7999999999999996E-3</v>
      </c>
      <c r="O11" s="48">
        <v>0.19489999999999999</v>
      </c>
      <c r="P11" s="48">
        <v>4.4000000000000003E-3</v>
      </c>
      <c r="Q11" s="48">
        <v>0</v>
      </c>
      <c r="R11" s="48">
        <v>4.2799999999999998E-2</v>
      </c>
      <c r="S11" s="48">
        <v>0.11890000000000001</v>
      </c>
      <c r="T11" s="50">
        <v>0.12</v>
      </c>
      <c r="U11" s="48"/>
      <c r="V11" s="48"/>
    </row>
    <row r="12" spans="1:22" x14ac:dyDescent="0.25">
      <c r="A12" s="48" t="s">
        <v>9</v>
      </c>
      <c r="B12" s="49">
        <f t="shared" si="0"/>
        <v>10.654436189999998</v>
      </c>
      <c r="C12" s="48">
        <v>8.0079999999999991</v>
      </c>
      <c r="D12" s="50">
        <v>0.1163</v>
      </c>
      <c r="E12" s="51">
        <v>373.36</v>
      </c>
      <c r="F12" s="50">
        <v>0.112</v>
      </c>
      <c r="G12" s="48">
        <v>0.69810000000000005</v>
      </c>
      <c r="H12" s="50">
        <v>0.1159</v>
      </c>
      <c r="I12" s="48">
        <v>0.13389999999999999</v>
      </c>
      <c r="J12" s="51">
        <v>232.2</v>
      </c>
      <c r="K12" s="48">
        <v>827.54</v>
      </c>
      <c r="L12" s="48">
        <v>0.33500000000000002</v>
      </c>
      <c r="M12" s="51">
        <v>831.72</v>
      </c>
      <c r="N12" s="48">
        <v>5.8999999999999999E-3</v>
      </c>
      <c r="O12" s="48">
        <v>0.19489999999999999</v>
      </c>
      <c r="P12" s="48">
        <v>4.4000000000000003E-3</v>
      </c>
      <c r="Q12" s="48">
        <v>0</v>
      </c>
      <c r="R12" s="48">
        <v>4.2799999999999998E-2</v>
      </c>
      <c r="S12" s="48">
        <v>0.11890000000000001</v>
      </c>
      <c r="T12" s="50">
        <v>0.12</v>
      </c>
      <c r="U12" s="48"/>
      <c r="V12" s="48"/>
    </row>
    <row r="13" spans="1:22" x14ac:dyDescent="0.25">
      <c r="A13" s="48" t="s">
        <v>10</v>
      </c>
      <c r="B13" s="49">
        <f t="shared" si="0"/>
        <v>10.6446621</v>
      </c>
      <c r="C13" s="48">
        <v>7.9</v>
      </c>
      <c r="D13" s="50">
        <v>0.1139</v>
      </c>
      <c r="E13" s="51">
        <v>439.67</v>
      </c>
      <c r="F13" s="50">
        <v>0.1124</v>
      </c>
      <c r="G13" s="48">
        <v>0.72450000000000003</v>
      </c>
      <c r="H13" s="50">
        <v>0.1138</v>
      </c>
      <c r="I13" s="48">
        <v>0.13389999999999999</v>
      </c>
      <c r="J13" s="51">
        <v>232.2</v>
      </c>
      <c r="K13" s="48">
        <v>827.54</v>
      </c>
      <c r="L13" s="48">
        <v>0.33500000000000002</v>
      </c>
      <c r="M13" s="51">
        <v>831.72</v>
      </c>
      <c r="N13" s="48">
        <v>5.8999999999999999E-3</v>
      </c>
      <c r="O13" s="48">
        <v>0.19489999999999999</v>
      </c>
      <c r="P13" s="48">
        <v>4.4000000000000003E-3</v>
      </c>
      <c r="Q13" s="48">
        <v>2.5000000000000001E-3</v>
      </c>
      <c r="R13" s="48">
        <v>4.2799999999999998E-2</v>
      </c>
      <c r="S13" s="48">
        <v>0.20730000000000001</v>
      </c>
      <c r="T13" s="50">
        <v>0.12</v>
      </c>
      <c r="U13" s="48"/>
      <c r="V13" s="48"/>
    </row>
    <row r="14" spans="1:22" x14ac:dyDescent="0.25">
      <c r="A14" s="48" t="s">
        <v>11</v>
      </c>
      <c r="B14" s="49">
        <f t="shared" si="0"/>
        <v>10.458848479999999</v>
      </c>
      <c r="C14" s="48">
        <v>7.7641999999999998</v>
      </c>
      <c r="D14" s="50">
        <v>0.11360000000000001</v>
      </c>
      <c r="E14" s="51">
        <v>373.76</v>
      </c>
      <c r="F14" s="50">
        <v>0.107</v>
      </c>
      <c r="G14" s="48">
        <v>0.69620000000000004</v>
      </c>
      <c r="H14" s="50">
        <v>0.1128</v>
      </c>
      <c r="I14" s="48">
        <v>0.13389999999999999</v>
      </c>
      <c r="J14" s="51">
        <v>232.2</v>
      </c>
      <c r="K14" s="48">
        <v>827.54</v>
      </c>
      <c r="L14" s="48">
        <v>0.33500000000000002</v>
      </c>
      <c r="M14" s="51">
        <v>831.72</v>
      </c>
      <c r="N14" s="48">
        <v>5.8999999999999999E-3</v>
      </c>
      <c r="O14" s="48">
        <v>0.19489999999999999</v>
      </c>
      <c r="P14" s="48">
        <v>4.4000000000000003E-3</v>
      </c>
      <c r="Q14" s="48">
        <v>2.5000000000000001E-3</v>
      </c>
      <c r="R14" s="48">
        <v>4.2799999999999998E-2</v>
      </c>
      <c r="S14" s="48">
        <v>0.20730000000000001</v>
      </c>
      <c r="T14" s="50">
        <v>0.12</v>
      </c>
      <c r="U14" s="48"/>
      <c r="V14" s="48"/>
    </row>
    <row r="15" spans="1:22" x14ac:dyDescent="0.25">
      <c r="A15" s="33" t="s">
        <v>40</v>
      </c>
      <c r="B15" s="52">
        <f>AVERAGE(B3:B14)</f>
        <v>10.152993761666668</v>
      </c>
    </row>
    <row r="16" spans="1:22" x14ac:dyDescent="0.25">
      <c r="B16" s="52"/>
      <c r="C16" s="52"/>
    </row>
    <row r="17" spans="1:13" ht="15.5" x14ac:dyDescent="0.35">
      <c r="A17" s="121" t="s">
        <v>12</v>
      </c>
      <c r="B17" s="122" t="s">
        <v>39</v>
      </c>
      <c r="C17" s="122" t="s">
        <v>1</v>
      </c>
      <c r="D17" s="122" t="s">
        <v>2</v>
      </c>
      <c r="E17" s="122" t="s">
        <v>3</v>
      </c>
      <c r="F17" s="122" t="s">
        <v>4</v>
      </c>
      <c r="G17" s="122" t="s">
        <v>5</v>
      </c>
      <c r="H17" s="122" t="s">
        <v>6</v>
      </c>
      <c r="I17" s="122" t="s">
        <v>7</v>
      </c>
      <c r="J17" s="122" t="s">
        <v>8</v>
      </c>
      <c r="K17" s="122" t="s">
        <v>9</v>
      </c>
      <c r="L17" s="122" t="s">
        <v>10</v>
      </c>
      <c r="M17" s="122" t="s">
        <v>11</v>
      </c>
    </row>
    <row r="18" spans="1:13" ht="15.5" x14ac:dyDescent="0.35">
      <c r="A18" s="121" t="s">
        <v>38</v>
      </c>
      <c r="B18" s="122">
        <v>0</v>
      </c>
      <c r="C18" s="122">
        <v>0</v>
      </c>
      <c r="D18" s="122">
        <v>0</v>
      </c>
      <c r="E18" s="122">
        <v>0</v>
      </c>
      <c r="F18" s="122">
        <v>0</v>
      </c>
      <c r="G18" s="122">
        <v>0</v>
      </c>
      <c r="H18" s="122">
        <v>0</v>
      </c>
      <c r="I18" s="122">
        <v>0</v>
      </c>
      <c r="J18" s="122">
        <v>0</v>
      </c>
      <c r="K18" s="122">
        <v>0</v>
      </c>
      <c r="L18" s="122">
        <v>0</v>
      </c>
      <c r="M18" s="122">
        <v>0</v>
      </c>
    </row>
    <row r="19" spans="1:13" ht="15.5" x14ac:dyDescent="0.35">
      <c r="A19" s="121" t="s">
        <v>37</v>
      </c>
      <c r="B19" s="122">
        <v>0</v>
      </c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</row>
    <row r="20" spans="1:13" ht="15.5" x14ac:dyDescent="0.35">
      <c r="A20" s="121" t="s">
        <v>36</v>
      </c>
      <c r="B20" s="122">
        <v>0</v>
      </c>
      <c r="C20" s="122">
        <v>0</v>
      </c>
      <c r="D20" s="122">
        <v>0</v>
      </c>
      <c r="E20" s="122">
        <v>0</v>
      </c>
      <c r="F20" s="122">
        <v>0</v>
      </c>
      <c r="G20" s="122">
        <v>0</v>
      </c>
      <c r="H20" s="122">
        <v>0</v>
      </c>
      <c r="I20" s="122">
        <v>0</v>
      </c>
      <c r="J20" s="122">
        <v>0</v>
      </c>
      <c r="K20" s="122">
        <v>0</v>
      </c>
      <c r="L20" s="122">
        <v>0</v>
      </c>
      <c r="M20" s="122">
        <v>0</v>
      </c>
    </row>
    <row r="21" spans="1:13" ht="15.5" x14ac:dyDescent="0.35">
      <c r="A21" s="121" t="s">
        <v>35</v>
      </c>
      <c r="B21" s="122">
        <v>0</v>
      </c>
      <c r="C21" s="122">
        <v>0</v>
      </c>
      <c r="D21" s="122">
        <v>0</v>
      </c>
      <c r="E21" s="122">
        <v>0</v>
      </c>
      <c r="F21" s="122">
        <v>0</v>
      </c>
      <c r="G21" s="122">
        <v>0</v>
      </c>
      <c r="H21" s="122">
        <v>0</v>
      </c>
      <c r="I21" s="122">
        <v>0</v>
      </c>
      <c r="J21" s="122">
        <v>0</v>
      </c>
      <c r="K21" s="122">
        <v>0</v>
      </c>
      <c r="L21" s="122">
        <v>0</v>
      </c>
      <c r="M21" s="122">
        <v>0</v>
      </c>
    </row>
    <row r="22" spans="1:13" ht="15.5" x14ac:dyDescent="0.35">
      <c r="A22" s="121" t="s">
        <v>34</v>
      </c>
      <c r="B22" s="122">
        <v>0</v>
      </c>
      <c r="C22" s="122">
        <v>0</v>
      </c>
      <c r="D22" s="122">
        <v>0</v>
      </c>
      <c r="E22" s="122">
        <v>0</v>
      </c>
      <c r="F22" s="122">
        <v>0</v>
      </c>
      <c r="G22" s="122">
        <v>0</v>
      </c>
      <c r="H22" s="122">
        <v>0</v>
      </c>
      <c r="I22" s="122">
        <v>0</v>
      </c>
      <c r="J22" s="122">
        <v>0</v>
      </c>
      <c r="K22" s="122">
        <v>0</v>
      </c>
      <c r="L22" s="122">
        <v>0</v>
      </c>
      <c r="M22" s="122">
        <v>0</v>
      </c>
    </row>
    <row r="23" spans="1:13" ht="15.5" x14ac:dyDescent="0.35">
      <c r="A23" s="121" t="s">
        <v>33</v>
      </c>
      <c r="B23" s="122">
        <v>0</v>
      </c>
      <c r="C23" s="122">
        <v>0</v>
      </c>
      <c r="D23" s="122">
        <v>0</v>
      </c>
      <c r="E23" s="122">
        <v>0</v>
      </c>
      <c r="F23" s="122">
        <v>435.59999999999997</v>
      </c>
      <c r="G23" s="122">
        <v>422.4</v>
      </c>
      <c r="H23" s="122">
        <v>208.79999999999998</v>
      </c>
      <c r="I23" s="122">
        <v>0</v>
      </c>
      <c r="J23" s="122">
        <v>0</v>
      </c>
      <c r="K23" s="122">
        <v>0</v>
      </c>
      <c r="L23" s="122">
        <v>0</v>
      </c>
      <c r="M23" s="122">
        <v>0</v>
      </c>
    </row>
    <row r="24" spans="1:13" ht="15.5" x14ac:dyDescent="0.35">
      <c r="A24" s="121" t="s">
        <v>32</v>
      </c>
      <c r="B24" s="122">
        <v>790.8</v>
      </c>
      <c r="C24" s="122">
        <v>1087.2</v>
      </c>
      <c r="D24" s="122">
        <v>3283.2</v>
      </c>
      <c r="E24" s="122">
        <v>7155.6</v>
      </c>
      <c r="F24" s="122">
        <v>9340.8000000000011</v>
      </c>
      <c r="G24" s="122">
        <v>8382</v>
      </c>
      <c r="H24" s="122">
        <v>6572.4000000000005</v>
      </c>
      <c r="I24" s="122">
        <v>5242.8</v>
      </c>
      <c r="J24" s="122">
        <v>5742</v>
      </c>
      <c r="K24" s="122">
        <v>5895.5999999999995</v>
      </c>
      <c r="L24" s="122">
        <v>4495.2</v>
      </c>
      <c r="M24" s="122">
        <v>1381.2</v>
      </c>
    </row>
    <row r="25" spans="1:13" ht="15.5" x14ac:dyDescent="0.35">
      <c r="A25" s="121" t="s">
        <v>31</v>
      </c>
      <c r="B25" s="122">
        <v>13065.6</v>
      </c>
      <c r="C25" s="122">
        <v>15160.800000000001</v>
      </c>
      <c r="D25" s="122">
        <v>20172</v>
      </c>
      <c r="E25" s="122">
        <v>25394.399999999998</v>
      </c>
      <c r="F25" s="122">
        <v>25934.400000000001</v>
      </c>
      <c r="G25" s="122">
        <v>22956</v>
      </c>
      <c r="H25" s="122">
        <v>19142.400000000001</v>
      </c>
      <c r="I25" s="122">
        <v>17847.600000000002</v>
      </c>
      <c r="J25" s="122">
        <v>20140.8</v>
      </c>
      <c r="K25" s="122">
        <v>21038.400000000001</v>
      </c>
      <c r="L25" s="122">
        <v>19516.8</v>
      </c>
      <c r="M25" s="122">
        <v>15045.6</v>
      </c>
    </row>
    <row r="26" spans="1:13" ht="15.5" x14ac:dyDescent="0.35">
      <c r="A26" s="121" t="s">
        <v>30</v>
      </c>
      <c r="B26" s="122">
        <v>29450.400000000001</v>
      </c>
      <c r="C26" s="122">
        <v>33339.599999999999</v>
      </c>
      <c r="D26" s="122">
        <v>39100.800000000003</v>
      </c>
      <c r="E26" s="122">
        <v>42448.800000000003</v>
      </c>
      <c r="F26" s="122">
        <v>41641.200000000004</v>
      </c>
      <c r="G26" s="122">
        <v>36430.800000000003</v>
      </c>
      <c r="H26" s="122">
        <v>31982.400000000001</v>
      </c>
      <c r="I26" s="122">
        <v>30135.600000000002</v>
      </c>
      <c r="J26" s="122">
        <v>34195.199999999997</v>
      </c>
      <c r="K26" s="122">
        <v>35582.400000000001</v>
      </c>
      <c r="L26" s="122">
        <v>34366.800000000003</v>
      </c>
      <c r="M26" s="122">
        <v>30412.799999999999</v>
      </c>
    </row>
    <row r="27" spans="1:13" ht="15.5" x14ac:dyDescent="0.35">
      <c r="A27" s="121" t="s">
        <v>29</v>
      </c>
      <c r="B27" s="122">
        <v>44073.599999999999</v>
      </c>
      <c r="C27" s="122">
        <v>48727.199999999997</v>
      </c>
      <c r="D27" s="122">
        <v>53347.200000000004</v>
      </c>
      <c r="E27" s="122">
        <v>54668.4</v>
      </c>
      <c r="F27" s="122">
        <v>52918.8</v>
      </c>
      <c r="G27" s="122">
        <v>47004</v>
      </c>
      <c r="H27" s="122">
        <v>41925.599999999999</v>
      </c>
      <c r="I27" s="122">
        <v>39932.400000000001</v>
      </c>
      <c r="J27" s="122">
        <v>43678.8</v>
      </c>
      <c r="K27" s="122">
        <v>46634.400000000001</v>
      </c>
      <c r="L27" s="122">
        <v>45748.800000000003</v>
      </c>
      <c r="M27" s="122">
        <v>42806.400000000001</v>
      </c>
    </row>
    <row r="28" spans="1:13" ht="15.5" x14ac:dyDescent="0.35">
      <c r="A28" s="121" t="s">
        <v>28</v>
      </c>
      <c r="B28" s="122">
        <v>53386.799999999988</v>
      </c>
      <c r="C28" s="122">
        <v>57891.600000000006</v>
      </c>
      <c r="D28" s="122">
        <v>60762</v>
      </c>
      <c r="E28" s="122">
        <v>62203.199999999997</v>
      </c>
      <c r="F28" s="122">
        <v>59221.200000000004</v>
      </c>
      <c r="G28" s="122">
        <v>52943.999999999993</v>
      </c>
      <c r="H28" s="122">
        <v>47805.599999999999</v>
      </c>
      <c r="I28" s="122">
        <v>46603.199999999997</v>
      </c>
      <c r="J28" s="122">
        <v>49910.400000000001</v>
      </c>
      <c r="K28" s="122">
        <v>52273.2</v>
      </c>
      <c r="L28" s="122">
        <v>52454.400000000001</v>
      </c>
      <c r="M28" s="122">
        <v>50238</v>
      </c>
    </row>
    <row r="29" spans="1:13" ht="15.5" x14ac:dyDescent="0.35">
      <c r="A29" s="121" t="s">
        <v>27</v>
      </c>
      <c r="B29" s="122">
        <v>56154</v>
      </c>
      <c r="C29" s="122">
        <v>61248</v>
      </c>
      <c r="D29" s="122">
        <v>64058.399999999994</v>
      </c>
      <c r="E29" s="122">
        <v>64753.2</v>
      </c>
      <c r="F29" s="122">
        <v>61335.6</v>
      </c>
      <c r="G29" s="122">
        <v>54907.199999999997</v>
      </c>
      <c r="H29" s="122">
        <v>50206.799999999996</v>
      </c>
      <c r="I29" s="122">
        <v>48448.800000000003</v>
      </c>
      <c r="J29" s="122">
        <v>51873.599999999999</v>
      </c>
      <c r="K29" s="122">
        <v>53080.800000000003</v>
      </c>
      <c r="L29" s="122">
        <v>53450.399999999994</v>
      </c>
      <c r="M29" s="122">
        <v>51606</v>
      </c>
    </row>
    <row r="30" spans="1:13" ht="15.5" x14ac:dyDescent="0.35">
      <c r="A30" s="121" t="s">
        <v>26</v>
      </c>
      <c r="B30" s="122">
        <v>53570.400000000001</v>
      </c>
      <c r="C30" s="122">
        <v>60374.400000000001</v>
      </c>
      <c r="D30" s="122">
        <v>63854.399999999994</v>
      </c>
      <c r="E30" s="122">
        <v>64092</v>
      </c>
      <c r="F30" s="122">
        <v>60430.8</v>
      </c>
      <c r="G30" s="122">
        <v>54315.6</v>
      </c>
      <c r="H30" s="122">
        <v>49957.200000000004</v>
      </c>
      <c r="I30" s="122">
        <v>46890</v>
      </c>
      <c r="J30" s="122">
        <v>49665.599999999999</v>
      </c>
      <c r="K30" s="122">
        <v>50379.6</v>
      </c>
      <c r="L30" s="122">
        <v>50979.6</v>
      </c>
      <c r="M30" s="122">
        <v>48405.599999999999</v>
      </c>
    </row>
    <row r="31" spans="1:13" ht="15.5" x14ac:dyDescent="0.35">
      <c r="A31" s="121" t="s">
        <v>25</v>
      </c>
      <c r="B31" s="122">
        <v>50263.199999999997</v>
      </c>
      <c r="C31" s="122">
        <v>56257.200000000004</v>
      </c>
      <c r="D31" s="122">
        <v>59952</v>
      </c>
      <c r="E31" s="122">
        <v>59965.2</v>
      </c>
      <c r="F31" s="122">
        <v>55508.4</v>
      </c>
      <c r="G31" s="122">
        <v>50378.400000000001</v>
      </c>
      <c r="H31" s="122">
        <v>44529.599999999999</v>
      </c>
      <c r="I31" s="122">
        <v>42846</v>
      </c>
      <c r="J31" s="122">
        <v>43988.4</v>
      </c>
      <c r="K31" s="122">
        <v>44208</v>
      </c>
      <c r="L31" s="122">
        <v>46048.800000000003</v>
      </c>
      <c r="M31" s="122">
        <v>44630.399999999994</v>
      </c>
    </row>
    <row r="32" spans="1:13" ht="15.5" x14ac:dyDescent="0.35">
      <c r="A32" s="121" t="s">
        <v>24</v>
      </c>
      <c r="B32" s="122">
        <v>42516</v>
      </c>
      <c r="C32" s="122">
        <v>50041.2</v>
      </c>
      <c r="D32" s="122">
        <v>52269.599999999999</v>
      </c>
      <c r="E32" s="122">
        <v>50972.4</v>
      </c>
      <c r="F32" s="122">
        <v>44996.4</v>
      </c>
      <c r="G32" s="122">
        <v>40732.799999999996</v>
      </c>
      <c r="H32" s="122">
        <v>35239.200000000004</v>
      </c>
      <c r="I32" s="122">
        <v>34322.400000000001</v>
      </c>
      <c r="J32" s="122">
        <v>34069.199999999997</v>
      </c>
      <c r="K32" s="122">
        <v>34971.599999999999</v>
      </c>
      <c r="L32" s="122">
        <v>36750</v>
      </c>
      <c r="M32" s="122">
        <v>36564</v>
      </c>
    </row>
    <row r="33" spans="1:13" ht="15.5" x14ac:dyDescent="0.35">
      <c r="A33" s="121" t="s">
        <v>23</v>
      </c>
      <c r="B33" s="122">
        <v>30382.799999999999</v>
      </c>
      <c r="C33" s="122">
        <v>36951.599999999999</v>
      </c>
      <c r="D33" s="122">
        <v>39279.599999999999</v>
      </c>
      <c r="E33" s="122">
        <v>37845.599999999999</v>
      </c>
      <c r="F33" s="122">
        <v>30412.799999999999</v>
      </c>
      <c r="G33" s="122">
        <v>27897.599999999999</v>
      </c>
      <c r="H33" s="122">
        <v>23827.200000000001</v>
      </c>
      <c r="I33" s="122">
        <v>23826</v>
      </c>
      <c r="J33" s="122">
        <v>22930.799999999999</v>
      </c>
      <c r="K33" s="122">
        <v>23072.400000000001</v>
      </c>
      <c r="L33" s="122">
        <v>23832</v>
      </c>
      <c r="M33" s="122">
        <v>24456</v>
      </c>
    </row>
    <row r="34" spans="1:13" ht="15.5" x14ac:dyDescent="0.35">
      <c r="A34" s="121" t="s">
        <v>22</v>
      </c>
      <c r="B34" s="122">
        <v>14967.6</v>
      </c>
      <c r="C34" s="122">
        <v>20571.600000000002</v>
      </c>
      <c r="D34" s="122">
        <v>22564.799999999999</v>
      </c>
      <c r="E34" s="122">
        <v>21085.200000000001</v>
      </c>
      <c r="F34" s="122">
        <v>16300.800000000001</v>
      </c>
      <c r="G34" s="122">
        <v>15682.8</v>
      </c>
      <c r="H34" s="122">
        <v>13551.6</v>
      </c>
      <c r="I34" s="122">
        <v>13762.8</v>
      </c>
      <c r="J34" s="122">
        <v>11340</v>
      </c>
      <c r="K34" s="122">
        <v>10014</v>
      </c>
      <c r="L34" s="122">
        <v>9151.1999999999989</v>
      </c>
      <c r="M34" s="122">
        <v>10105.199999999999</v>
      </c>
    </row>
    <row r="35" spans="1:13" ht="15.5" x14ac:dyDescent="0.35">
      <c r="A35" s="121" t="s">
        <v>21</v>
      </c>
      <c r="B35" s="122">
        <v>1495.2</v>
      </c>
      <c r="C35" s="122">
        <v>4483.2</v>
      </c>
      <c r="D35" s="122">
        <v>5510.4000000000005</v>
      </c>
      <c r="E35" s="122">
        <v>5302.8</v>
      </c>
      <c r="F35" s="122">
        <v>4772.4000000000005</v>
      </c>
      <c r="G35" s="122">
        <v>5589.6</v>
      </c>
      <c r="H35" s="122">
        <v>5505.5999999999995</v>
      </c>
      <c r="I35" s="122">
        <v>4483.2</v>
      </c>
      <c r="J35" s="122">
        <v>2365.1999999999998</v>
      </c>
      <c r="K35" s="122">
        <v>692.40000000000009</v>
      </c>
      <c r="L35" s="122">
        <v>336</v>
      </c>
      <c r="M35" s="122">
        <v>535.19999999999993</v>
      </c>
    </row>
    <row r="36" spans="1:13" ht="15.5" x14ac:dyDescent="0.35">
      <c r="A36" s="121" t="s">
        <v>20</v>
      </c>
      <c r="B36" s="122">
        <v>0</v>
      </c>
      <c r="C36" s="122">
        <v>0</v>
      </c>
      <c r="D36" s="122">
        <v>0</v>
      </c>
      <c r="E36" s="122">
        <v>0</v>
      </c>
      <c r="F36" s="122">
        <v>28.799999999999997</v>
      </c>
      <c r="G36" s="122">
        <v>246</v>
      </c>
      <c r="H36" s="122">
        <v>309.59999999999997</v>
      </c>
      <c r="I36" s="122">
        <v>32.4</v>
      </c>
      <c r="J36" s="122">
        <v>0</v>
      </c>
      <c r="K36" s="122">
        <v>0</v>
      </c>
      <c r="L36" s="122">
        <v>0</v>
      </c>
      <c r="M36" s="122">
        <v>0</v>
      </c>
    </row>
    <row r="37" spans="1:13" ht="15.5" x14ac:dyDescent="0.35">
      <c r="A37" s="121" t="s">
        <v>19</v>
      </c>
      <c r="B37" s="122">
        <v>0</v>
      </c>
      <c r="C37" s="122">
        <v>0</v>
      </c>
      <c r="D37" s="122">
        <v>0</v>
      </c>
      <c r="E37" s="122">
        <v>0</v>
      </c>
      <c r="F37" s="122">
        <v>0</v>
      </c>
      <c r="G37" s="122">
        <v>0</v>
      </c>
      <c r="H37" s="122">
        <v>0</v>
      </c>
      <c r="I37" s="122">
        <v>0</v>
      </c>
      <c r="J37" s="122">
        <v>0</v>
      </c>
      <c r="K37" s="122">
        <v>0</v>
      </c>
      <c r="L37" s="122">
        <v>0</v>
      </c>
      <c r="M37" s="122">
        <v>0</v>
      </c>
    </row>
    <row r="38" spans="1:13" ht="15.5" x14ac:dyDescent="0.35">
      <c r="A38" s="121" t="s">
        <v>18</v>
      </c>
      <c r="B38" s="122">
        <v>0</v>
      </c>
      <c r="C38" s="122">
        <v>0</v>
      </c>
      <c r="D38" s="122">
        <v>0</v>
      </c>
      <c r="E38" s="122">
        <v>0</v>
      </c>
      <c r="F38" s="122">
        <v>0</v>
      </c>
      <c r="G38" s="122">
        <v>0</v>
      </c>
      <c r="H38" s="122">
        <v>0</v>
      </c>
      <c r="I38" s="122">
        <v>0</v>
      </c>
      <c r="J38" s="122">
        <v>0</v>
      </c>
      <c r="K38" s="122">
        <v>0</v>
      </c>
      <c r="L38" s="122">
        <v>0</v>
      </c>
      <c r="M38" s="122">
        <v>0</v>
      </c>
    </row>
    <row r="39" spans="1:13" ht="15.5" x14ac:dyDescent="0.35">
      <c r="A39" s="121" t="s">
        <v>17</v>
      </c>
      <c r="B39" s="122">
        <v>0</v>
      </c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</row>
    <row r="40" spans="1:13" ht="15.5" x14ac:dyDescent="0.35">
      <c r="A40" s="121" t="s">
        <v>16</v>
      </c>
      <c r="B40" s="122">
        <v>0</v>
      </c>
      <c r="C40" s="122">
        <v>0</v>
      </c>
      <c r="D40" s="122">
        <v>0</v>
      </c>
      <c r="E40" s="122">
        <v>0</v>
      </c>
      <c r="F40" s="122">
        <v>0</v>
      </c>
      <c r="G40" s="122">
        <v>0</v>
      </c>
      <c r="H40" s="122">
        <v>0</v>
      </c>
      <c r="I40" s="122">
        <v>0</v>
      </c>
      <c r="J40" s="122">
        <v>0</v>
      </c>
      <c r="K40" s="122">
        <v>0</v>
      </c>
      <c r="L40" s="122">
        <v>0</v>
      </c>
      <c r="M40" s="122">
        <v>0</v>
      </c>
    </row>
    <row r="41" spans="1:13" ht="15.5" x14ac:dyDescent="0.35">
      <c r="A41" s="121" t="s">
        <v>15</v>
      </c>
      <c r="B41" s="122">
        <v>0</v>
      </c>
      <c r="C41" s="122">
        <v>0</v>
      </c>
      <c r="D41" s="122">
        <v>0</v>
      </c>
      <c r="E41" s="122">
        <v>0</v>
      </c>
      <c r="F41" s="122">
        <v>0</v>
      </c>
      <c r="G41" s="122">
        <v>0</v>
      </c>
      <c r="H41" s="122">
        <v>0</v>
      </c>
      <c r="I41" s="122">
        <v>0</v>
      </c>
      <c r="J41" s="122">
        <v>0</v>
      </c>
      <c r="K41" s="122">
        <v>0</v>
      </c>
      <c r="L41" s="122">
        <v>0</v>
      </c>
      <c r="M41" s="122">
        <v>0</v>
      </c>
    </row>
    <row r="42" spans="1:13" ht="15.5" x14ac:dyDescent="0.35">
      <c r="A42" s="121" t="s">
        <v>14</v>
      </c>
      <c r="B42" s="122">
        <v>390116.39999999997</v>
      </c>
      <c r="C42" s="122">
        <v>446133.6</v>
      </c>
      <c r="D42" s="122">
        <v>484154.4</v>
      </c>
      <c r="E42" s="122">
        <v>495886.8</v>
      </c>
      <c r="F42" s="122">
        <v>463278</v>
      </c>
      <c r="G42" s="122">
        <v>417889.19999999995</v>
      </c>
      <c r="H42" s="122">
        <v>370764</v>
      </c>
      <c r="I42" s="122">
        <v>354373.2</v>
      </c>
      <c r="J42" s="122">
        <v>369900</v>
      </c>
      <c r="K42" s="122">
        <v>377842.8</v>
      </c>
      <c r="L42" s="122">
        <v>377130</v>
      </c>
      <c r="M42" s="122">
        <v>356186.39999999997</v>
      </c>
    </row>
    <row r="43" spans="1:13" x14ac:dyDescent="0.3">
      <c r="A43" s="53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</row>
    <row r="44" spans="1:13" x14ac:dyDescent="0.25">
      <c r="B44" s="52"/>
      <c r="C44" s="52"/>
    </row>
    <row r="45" spans="1:13" x14ac:dyDescent="0.3">
      <c r="A45" s="48" t="s">
        <v>134</v>
      </c>
      <c r="B45" s="55">
        <v>18</v>
      </c>
      <c r="C45" s="55">
        <v>18</v>
      </c>
      <c r="D45" s="55">
        <v>20</v>
      </c>
      <c r="E45" s="55">
        <v>18</v>
      </c>
      <c r="F45" s="55">
        <v>20</v>
      </c>
      <c r="G45" s="55">
        <v>18</v>
      </c>
      <c r="H45" s="55">
        <v>18</v>
      </c>
      <c r="I45" s="55">
        <v>18</v>
      </c>
      <c r="J45" s="55">
        <v>18</v>
      </c>
      <c r="K45" s="55">
        <v>18</v>
      </c>
      <c r="L45" s="55">
        <v>18</v>
      </c>
      <c r="M45" s="55">
        <v>18</v>
      </c>
    </row>
    <row r="46" spans="1:13" x14ac:dyDescent="0.25">
      <c r="A46" s="48"/>
      <c r="B46" s="56">
        <f t="shared" ref="B46:M46" si="1">B42*B45/1000</f>
        <v>7022.0951999999988</v>
      </c>
      <c r="C46" s="56">
        <f t="shared" si="1"/>
        <v>8030.4048000000003</v>
      </c>
      <c r="D46" s="56">
        <f t="shared" si="1"/>
        <v>9683.0879999999997</v>
      </c>
      <c r="E46" s="56">
        <f t="shared" si="1"/>
        <v>8925.9624000000003</v>
      </c>
      <c r="F46" s="56">
        <f t="shared" si="1"/>
        <v>9265.56</v>
      </c>
      <c r="G46" s="56">
        <f t="shared" si="1"/>
        <v>7522.0055999999995</v>
      </c>
      <c r="H46" s="56">
        <f t="shared" si="1"/>
        <v>6673.7520000000004</v>
      </c>
      <c r="I46" s="56">
        <f t="shared" si="1"/>
        <v>6378.7176000000009</v>
      </c>
      <c r="J46" s="56">
        <f t="shared" si="1"/>
        <v>6658.2</v>
      </c>
      <c r="K46" s="56">
        <f t="shared" si="1"/>
        <v>6801.1703999999991</v>
      </c>
      <c r="L46" s="56">
        <f t="shared" si="1"/>
        <v>6788.34</v>
      </c>
      <c r="M46" s="56">
        <f t="shared" si="1"/>
        <v>6411.3551999999991</v>
      </c>
    </row>
    <row r="47" spans="1:13" x14ac:dyDescent="0.3">
      <c r="A47" s="48" t="s">
        <v>135</v>
      </c>
      <c r="B47" s="55">
        <v>0</v>
      </c>
      <c r="C47" s="55">
        <v>0</v>
      </c>
      <c r="D47" s="55">
        <v>0</v>
      </c>
      <c r="E47" s="55">
        <v>0</v>
      </c>
      <c r="F47" s="55">
        <v>0</v>
      </c>
      <c r="G47" s="55">
        <v>0</v>
      </c>
      <c r="H47" s="55">
        <v>0</v>
      </c>
      <c r="I47" s="55">
        <v>0</v>
      </c>
      <c r="J47" s="55">
        <v>0</v>
      </c>
      <c r="K47" s="55">
        <v>0</v>
      </c>
      <c r="L47" s="55">
        <v>0</v>
      </c>
      <c r="M47" s="55">
        <v>0</v>
      </c>
    </row>
    <row r="48" spans="1:13" x14ac:dyDescent="0.25">
      <c r="A48" s="48"/>
      <c r="B48" s="56">
        <f t="shared" ref="B48:M48" si="2">B47*B42/1000</f>
        <v>0</v>
      </c>
      <c r="C48" s="56">
        <f t="shared" si="2"/>
        <v>0</v>
      </c>
      <c r="D48" s="56">
        <f t="shared" si="2"/>
        <v>0</v>
      </c>
      <c r="E48" s="56">
        <f t="shared" si="2"/>
        <v>0</v>
      </c>
      <c r="F48" s="56">
        <f t="shared" si="2"/>
        <v>0</v>
      </c>
      <c r="G48" s="56">
        <f t="shared" si="2"/>
        <v>0</v>
      </c>
      <c r="H48" s="56">
        <f t="shared" si="2"/>
        <v>0</v>
      </c>
      <c r="I48" s="56">
        <f t="shared" si="2"/>
        <v>0</v>
      </c>
      <c r="J48" s="56">
        <f t="shared" si="2"/>
        <v>0</v>
      </c>
      <c r="K48" s="56">
        <f t="shared" si="2"/>
        <v>0</v>
      </c>
      <c r="L48" s="56">
        <f t="shared" si="2"/>
        <v>0</v>
      </c>
      <c r="M48" s="56">
        <f t="shared" si="2"/>
        <v>0</v>
      </c>
    </row>
    <row r="49" spans="1:13" x14ac:dyDescent="0.25">
      <c r="B49" s="52"/>
      <c r="C49" s="52"/>
    </row>
    <row r="50" spans="1:13" s="57" customFormat="1" x14ac:dyDescent="0.25">
      <c r="A50" s="64"/>
      <c r="B50" s="65"/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</row>
    <row r="51" spans="1:13" x14ac:dyDescent="0.25">
      <c r="A51" s="58" t="s">
        <v>136</v>
      </c>
      <c r="B51" s="56"/>
      <c r="C51" s="59"/>
      <c r="D51" s="48"/>
      <c r="E51" s="48"/>
      <c r="F51" s="48"/>
      <c r="G51" s="48"/>
      <c r="H51" s="48"/>
      <c r="I51" s="48"/>
      <c r="J51" s="48"/>
      <c r="K51" s="48"/>
      <c r="L51" s="48"/>
      <c r="M51" s="48"/>
    </row>
    <row r="52" spans="1:13" x14ac:dyDescent="0.25">
      <c r="A52" s="48"/>
      <c r="B52" s="56" t="s">
        <v>144</v>
      </c>
      <c r="C52" s="56" t="s">
        <v>1</v>
      </c>
      <c r="D52" s="56" t="s">
        <v>2</v>
      </c>
      <c r="E52" s="56" t="s">
        <v>3</v>
      </c>
      <c r="F52" s="56" t="s">
        <v>4</v>
      </c>
      <c r="G52" s="56" t="s">
        <v>5</v>
      </c>
      <c r="H52" s="56" t="s">
        <v>6</v>
      </c>
      <c r="I52" s="56" t="s">
        <v>7</v>
      </c>
      <c r="J52" s="56" t="s">
        <v>8</v>
      </c>
      <c r="K52" s="56" t="s">
        <v>9</v>
      </c>
      <c r="L52" s="56" t="s">
        <v>10</v>
      </c>
      <c r="M52" s="56" t="s">
        <v>11</v>
      </c>
    </row>
    <row r="53" spans="1:13" x14ac:dyDescent="0.25">
      <c r="A53" s="48" t="s">
        <v>140</v>
      </c>
      <c r="B53" s="56">
        <f>B46</f>
        <v>7022.0951999999988</v>
      </c>
      <c r="C53" s="56">
        <f t="shared" ref="C53:M53" si="3">C46</f>
        <v>8030.4048000000003</v>
      </c>
      <c r="D53" s="56">
        <f t="shared" si="3"/>
        <v>9683.0879999999997</v>
      </c>
      <c r="E53" s="56">
        <f t="shared" si="3"/>
        <v>8925.9624000000003</v>
      </c>
      <c r="F53" s="56">
        <f t="shared" si="3"/>
        <v>9265.56</v>
      </c>
      <c r="G53" s="56">
        <f t="shared" si="3"/>
        <v>7522.0055999999995</v>
      </c>
      <c r="H53" s="56">
        <f t="shared" si="3"/>
        <v>6673.7520000000004</v>
      </c>
      <c r="I53" s="56">
        <f t="shared" si="3"/>
        <v>6378.7176000000009</v>
      </c>
      <c r="J53" s="56">
        <f t="shared" si="3"/>
        <v>6658.2</v>
      </c>
      <c r="K53" s="56">
        <f t="shared" si="3"/>
        <v>6801.1703999999991</v>
      </c>
      <c r="L53" s="56">
        <f t="shared" si="3"/>
        <v>6788.34</v>
      </c>
      <c r="M53" s="56">
        <f t="shared" si="3"/>
        <v>6411.3551999999991</v>
      </c>
    </row>
    <row r="54" spans="1:13" x14ac:dyDescent="0.25">
      <c r="A54" s="48" t="s">
        <v>141</v>
      </c>
      <c r="B54" s="56">
        <v>5760</v>
      </c>
      <c r="C54" s="56">
        <v>20280</v>
      </c>
      <c r="D54" s="56">
        <v>21600</v>
      </c>
      <c r="E54" s="56">
        <v>21960</v>
      </c>
      <c r="F54" s="56">
        <v>21720</v>
      </c>
      <c r="G54" s="56">
        <v>19560</v>
      </c>
      <c r="H54" s="56">
        <v>25440</v>
      </c>
      <c r="I54" s="56">
        <v>14640</v>
      </c>
      <c r="J54" s="56">
        <v>25440</v>
      </c>
      <c r="K54" s="56">
        <v>22800</v>
      </c>
      <c r="L54" s="56">
        <v>21000</v>
      </c>
      <c r="M54" s="56">
        <v>26880</v>
      </c>
    </row>
    <row r="55" spans="1:13" x14ac:dyDescent="0.25">
      <c r="A55" s="48" t="s">
        <v>139</v>
      </c>
      <c r="B55" s="56">
        <f>B53*13</f>
        <v>91287.237599999979</v>
      </c>
      <c r="C55" s="56">
        <f t="shared" ref="C55:M55" si="4">C53*13</f>
        <v>104395.26240000001</v>
      </c>
      <c r="D55" s="56">
        <f t="shared" si="4"/>
        <v>125880.144</v>
      </c>
      <c r="E55" s="56">
        <f t="shared" si="4"/>
        <v>116037.51120000001</v>
      </c>
      <c r="F55" s="56">
        <f t="shared" si="4"/>
        <v>120452.28</v>
      </c>
      <c r="G55" s="56">
        <f t="shared" si="4"/>
        <v>97786.072799999994</v>
      </c>
      <c r="H55" s="56">
        <f t="shared" si="4"/>
        <v>86758.776000000013</v>
      </c>
      <c r="I55" s="56">
        <f t="shared" si="4"/>
        <v>82923.328800000018</v>
      </c>
      <c r="J55" s="56">
        <f t="shared" si="4"/>
        <v>86556.599999999991</v>
      </c>
      <c r="K55" s="56">
        <f t="shared" si="4"/>
        <v>88415.215199999991</v>
      </c>
      <c r="L55" s="56">
        <f t="shared" si="4"/>
        <v>88248.42</v>
      </c>
      <c r="M55" s="56">
        <f t="shared" si="4"/>
        <v>83347.617599999983</v>
      </c>
    </row>
    <row r="56" spans="1:13" x14ac:dyDescent="0.25">
      <c r="A56" s="48"/>
      <c r="B56" s="60"/>
      <c r="C56" s="60"/>
      <c r="D56" s="48"/>
      <c r="E56" s="30"/>
      <c r="F56" s="48"/>
      <c r="G56" s="48"/>
      <c r="H56" s="48"/>
      <c r="I56" s="48"/>
      <c r="J56" s="48"/>
      <c r="K56" s="48"/>
      <c r="L56" s="48"/>
      <c r="M56" s="48"/>
    </row>
    <row r="57" spans="1:13" x14ac:dyDescent="0.25">
      <c r="A57" s="48" t="s">
        <v>142</v>
      </c>
      <c r="B57" s="83">
        <f>'成本&amp;报价'!C84</f>
        <v>3108259</v>
      </c>
      <c r="C57" s="61"/>
      <c r="D57" s="58"/>
      <c r="E57" s="62"/>
      <c r="F57" s="58"/>
      <c r="G57" s="48"/>
      <c r="H57" s="48"/>
      <c r="I57" s="48"/>
      <c r="J57" s="48"/>
      <c r="K57" s="48"/>
      <c r="L57" s="48"/>
      <c r="M57" s="48"/>
    </row>
    <row r="58" spans="1:13" x14ac:dyDescent="0.25">
      <c r="A58" s="48" t="s">
        <v>143</v>
      </c>
      <c r="B58" s="83">
        <f>SUM(B55:M55)*B59</f>
        <v>1054879.61904</v>
      </c>
      <c r="C58" s="61"/>
      <c r="D58" s="48"/>
      <c r="E58" s="48"/>
      <c r="F58" s="48"/>
      <c r="G58" s="48"/>
      <c r="H58" s="48"/>
      <c r="I58" s="48"/>
      <c r="J58" s="48"/>
      <c r="K58" s="48"/>
      <c r="L58" s="48"/>
      <c r="M58" s="48"/>
    </row>
    <row r="59" spans="1:13" x14ac:dyDescent="0.25">
      <c r="A59" s="105" t="s">
        <v>149</v>
      </c>
      <c r="B59" s="48">
        <v>0.9</v>
      </c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5DDC2-8949-4B93-8442-5EB4010D1A77}">
  <dimension ref="A1:L215"/>
  <sheetViews>
    <sheetView topLeftCell="A11" zoomScaleNormal="100" workbookViewId="0">
      <selection activeCell="B2" sqref="B2:B3"/>
    </sheetView>
  </sheetViews>
  <sheetFormatPr defaultColWidth="9.453125" defaultRowHeight="14" x14ac:dyDescent="0.25"/>
  <cols>
    <col min="1" max="1" width="13" style="70" bestFit="1" customWidth="1"/>
    <col min="2" max="2" width="22.7265625" style="70" bestFit="1" customWidth="1"/>
    <col min="3" max="3" width="11.26953125" style="70" bestFit="1" customWidth="1"/>
    <col min="4" max="4" width="11.36328125" style="70" bestFit="1" customWidth="1"/>
    <col min="5" max="5" width="13.54296875" style="70" bestFit="1" customWidth="1"/>
    <col min="6" max="9" width="9.453125" style="70"/>
    <col min="10" max="10" width="13.08984375" style="70" bestFit="1" customWidth="1"/>
    <col min="11" max="11" width="9.453125" style="70"/>
    <col min="12" max="12" width="10.1796875" style="70" bestFit="1" customWidth="1"/>
    <col min="13" max="16384" width="9.453125" style="70"/>
  </cols>
  <sheetData>
    <row r="1" spans="1:12" ht="32.25" customHeight="1" thickBot="1" x14ac:dyDescent="0.3">
      <c r="A1" s="68" t="s">
        <v>94</v>
      </c>
      <c r="B1" s="69" t="s">
        <v>96</v>
      </c>
      <c r="C1" s="68" t="s">
        <v>92</v>
      </c>
      <c r="D1" s="68" t="s">
        <v>91</v>
      </c>
      <c r="E1" s="69" t="s">
        <v>90</v>
      </c>
      <c r="G1" s="96"/>
      <c r="H1" s="96" t="s">
        <v>146</v>
      </c>
      <c r="I1" s="97" t="s">
        <v>90</v>
      </c>
      <c r="J1" s="96" t="s">
        <v>145</v>
      </c>
      <c r="K1" s="98" t="s">
        <v>91</v>
      </c>
      <c r="L1" s="97" t="s">
        <v>87</v>
      </c>
    </row>
    <row r="2" spans="1:12" ht="19.5" customHeight="1" thickBot="1" x14ac:dyDescent="0.3">
      <c r="A2" s="71">
        <v>46357</v>
      </c>
      <c r="B2" s="72">
        <f>[1]收益!B57</f>
        <v>4067816</v>
      </c>
      <c r="C2" s="73">
        <f>-B2</f>
        <v>-4067816</v>
      </c>
      <c r="D2" s="74">
        <f>IRR(C2:C22)</f>
        <v>0.24925425968935966</v>
      </c>
      <c r="E2" s="75">
        <f>B2/C3</f>
        <v>3.8561897742435693</v>
      </c>
      <c r="G2" s="99">
        <v>0</v>
      </c>
      <c r="H2" s="96">
        <v>1</v>
      </c>
      <c r="I2" s="100">
        <f>E2</f>
        <v>3.8561897742435693</v>
      </c>
      <c r="J2" s="101">
        <f>B3/1000</f>
        <v>1054.8796190400001</v>
      </c>
      <c r="K2" s="102">
        <f>D2</f>
        <v>0.24925425968935966</v>
      </c>
      <c r="L2" s="103">
        <f>C25</f>
        <v>20005406.580586173</v>
      </c>
    </row>
    <row r="3" spans="1:12" ht="19.5" customHeight="1" thickBot="1" x14ac:dyDescent="0.3">
      <c r="A3" s="71">
        <v>46722</v>
      </c>
      <c r="B3" s="84">
        <f>[1]收益!B58</f>
        <v>1054879.61904</v>
      </c>
      <c r="C3" s="73">
        <f>B3*B5</f>
        <v>1054879.61904</v>
      </c>
      <c r="D3" s="76">
        <v>0.98</v>
      </c>
      <c r="E3" s="112" t="s">
        <v>150</v>
      </c>
      <c r="G3" s="99">
        <v>0.2</v>
      </c>
      <c r="H3" s="96">
        <v>0.8</v>
      </c>
      <c r="I3" s="100">
        <f>E29</f>
        <v>4.8202372178044612</v>
      </c>
      <c r="J3" s="101">
        <f>$J$2*H3</f>
        <v>843.90369523200013</v>
      </c>
      <c r="K3" s="102">
        <f>D29</f>
        <v>0.19537278419766979</v>
      </c>
      <c r="L3" s="103">
        <f>C52</f>
        <v>16004325.464468939</v>
      </c>
    </row>
    <row r="4" spans="1:12" ht="19.5" customHeight="1" x14ac:dyDescent="0.25">
      <c r="A4" s="71">
        <v>47088</v>
      </c>
      <c r="B4" s="85" t="s">
        <v>95</v>
      </c>
      <c r="C4" s="73">
        <f>C3*D3</f>
        <v>1033782.0266592</v>
      </c>
      <c r="D4" s="76">
        <v>4.0000000000000001E-3</v>
      </c>
      <c r="E4" s="77" t="s">
        <v>138</v>
      </c>
      <c r="G4" s="99">
        <v>0.25</v>
      </c>
      <c r="H4" s="96">
        <v>0.75</v>
      </c>
      <c r="I4" s="100">
        <f>E56</f>
        <v>5.1415863656580925</v>
      </c>
      <c r="J4" s="101">
        <f t="shared" ref="J4:J9" si="0">$J$2*H4</f>
        <v>791.15971428000012</v>
      </c>
      <c r="K4" s="102">
        <f>D56</f>
        <v>0.1815813921346614</v>
      </c>
      <c r="L4" s="103">
        <f>C79</f>
        <v>15004055.185439629</v>
      </c>
    </row>
    <row r="5" spans="1:12" ht="19.5" customHeight="1" x14ac:dyDescent="0.25">
      <c r="A5" s="71">
        <v>47453</v>
      </c>
      <c r="B5" s="86">
        <v>1</v>
      </c>
      <c r="C5" s="73">
        <f t="shared" ref="C5:C22" si="1">C4*(1-$D$4)</f>
        <v>1029646.8985525632</v>
      </c>
      <c r="D5" s="76"/>
      <c r="G5" s="99">
        <v>0.3</v>
      </c>
      <c r="H5" s="96">
        <v>0.7</v>
      </c>
      <c r="I5" s="100">
        <f>E83</f>
        <v>5.5088425346336711</v>
      </c>
      <c r="J5" s="101">
        <f t="shared" si="0"/>
        <v>738.41573332799999</v>
      </c>
      <c r="K5" s="102">
        <f>D83</f>
        <v>0.1676057578288126</v>
      </c>
      <c r="L5" s="103">
        <f>C106</f>
        <v>14003784.90641032</v>
      </c>
    </row>
    <row r="6" spans="1:12" ht="19.5" customHeight="1" x14ac:dyDescent="0.25">
      <c r="A6" s="71">
        <v>47818</v>
      </c>
      <c r="B6" s="86"/>
      <c r="C6" s="73">
        <f t="shared" si="1"/>
        <v>1025528.3109583529</v>
      </c>
      <c r="D6" s="76"/>
      <c r="G6" s="106">
        <v>0.35</v>
      </c>
      <c r="H6" s="107">
        <v>0.65</v>
      </c>
      <c r="I6" s="108">
        <f>E110</f>
        <v>5.9325996526824136</v>
      </c>
      <c r="J6" s="109">
        <f t="shared" si="0"/>
        <v>685.67175237600009</v>
      </c>
      <c r="K6" s="110">
        <f>D110</f>
        <v>0.15340606671093071</v>
      </c>
      <c r="L6" s="111">
        <f>C133</f>
        <v>13003514.627381012</v>
      </c>
    </row>
    <row r="7" spans="1:12" ht="19.5" customHeight="1" x14ac:dyDescent="0.25">
      <c r="A7" s="71">
        <v>48183</v>
      </c>
      <c r="B7" s="86"/>
      <c r="C7" s="73">
        <f t="shared" si="1"/>
        <v>1021426.1977145195</v>
      </c>
      <c r="D7" s="76"/>
      <c r="G7" s="99">
        <v>0.4</v>
      </c>
      <c r="H7" s="96">
        <v>0.6</v>
      </c>
      <c r="I7" s="100">
        <f>E137</f>
        <v>6.4269829570726156</v>
      </c>
      <c r="J7" s="101">
        <f t="shared" si="0"/>
        <v>632.92777142400007</v>
      </c>
      <c r="K7" s="102">
        <f>D137</f>
        <v>0.13893236901624895</v>
      </c>
      <c r="L7" s="103">
        <f>C160</f>
        <v>12003244.348351706</v>
      </c>
    </row>
    <row r="8" spans="1:12" ht="19.5" customHeight="1" x14ac:dyDescent="0.25">
      <c r="A8" s="71">
        <v>48549</v>
      </c>
      <c r="B8" s="86"/>
      <c r="C8" s="73">
        <f t="shared" si="1"/>
        <v>1017340.4929236614</v>
      </c>
      <c r="D8" s="76"/>
      <c r="G8" s="99">
        <v>0.45</v>
      </c>
      <c r="H8" s="96">
        <v>0.55000000000000004</v>
      </c>
      <c r="I8" s="100">
        <f>E164</f>
        <v>7.0112541349883077</v>
      </c>
      <c r="J8" s="104">
        <f t="shared" si="0"/>
        <v>580.18379047200006</v>
      </c>
      <c r="K8" s="102">
        <f>D164</f>
        <v>0.12412119977853342</v>
      </c>
      <c r="L8" s="103">
        <f>C187</f>
        <v>11002974.069322396</v>
      </c>
    </row>
    <row r="9" spans="1:12" ht="19.5" customHeight="1" x14ac:dyDescent="0.25">
      <c r="A9" s="71">
        <v>48914</v>
      </c>
      <c r="B9" s="86"/>
      <c r="C9" s="73">
        <f t="shared" si="1"/>
        <v>1013271.1309519667</v>
      </c>
      <c r="D9" s="76"/>
      <c r="G9" s="99">
        <v>0.5</v>
      </c>
      <c r="H9" s="96">
        <v>0.5</v>
      </c>
      <c r="I9" s="100">
        <f>E191</f>
        <v>7.7123795484871387</v>
      </c>
      <c r="J9" s="104">
        <f t="shared" si="0"/>
        <v>527.43980952000004</v>
      </c>
      <c r="K9" s="102">
        <f>D191</f>
        <v>0.10889065042690049</v>
      </c>
      <c r="L9" s="103">
        <f>C214</f>
        <v>10002703.790293086</v>
      </c>
    </row>
    <row r="10" spans="1:12" ht="19.5" customHeight="1" x14ac:dyDescent="0.25">
      <c r="A10" s="71">
        <v>49279</v>
      </c>
      <c r="B10" s="86"/>
      <c r="C10" s="73">
        <f t="shared" si="1"/>
        <v>1009218.0464281589</v>
      </c>
      <c r="D10" s="76"/>
    </row>
    <row r="11" spans="1:12" ht="19.5" customHeight="1" x14ac:dyDescent="0.25">
      <c r="A11" s="71">
        <v>49644</v>
      </c>
      <c r="B11" s="78"/>
      <c r="C11" s="73">
        <f t="shared" si="1"/>
        <v>1005181.1742424462</v>
      </c>
      <c r="D11" s="76"/>
    </row>
    <row r="12" spans="1:12" ht="19.5" customHeight="1" x14ac:dyDescent="0.25">
      <c r="A12" s="71">
        <v>50010</v>
      </c>
      <c r="B12" s="78"/>
      <c r="C12" s="73">
        <f t="shared" si="1"/>
        <v>1001160.4495454764</v>
      </c>
      <c r="D12" s="76"/>
    </row>
    <row r="13" spans="1:12" ht="19.5" customHeight="1" x14ac:dyDescent="0.25">
      <c r="A13" s="71">
        <v>50375</v>
      </c>
      <c r="B13" s="78"/>
      <c r="C13" s="73">
        <f t="shared" si="1"/>
        <v>997155.80774729443</v>
      </c>
      <c r="D13" s="76"/>
    </row>
    <row r="14" spans="1:12" ht="19.5" customHeight="1" x14ac:dyDescent="0.25">
      <c r="A14" s="71">
        <v>50740</v>
      </c>
      <c r="B14" s="78"/>
      <c r="C14" s="73">
        <f t="shared" si="1"/>
        <v>993167.18451630522</v>
      </c>
      <c r="D14" s="76"/>
    </row>
    <row r="15" spans="1:12" ht="19.5" customHeight="1" x14ac:dyDescent="0.25">
      <c r="A15" s="71">
        <v>51105</v>
      </c>
      <c r="B15" s="78"/>
      <c r="C15" s="73">
        <f t="shared" si="1"/>
        <v>989194.51577824005</v>
      </c>
      <c r="D15" s="76"/>
    </row>
    <row r="16" spans="1:12" ht="19.5" customHeight="1" x14ac:dyDescent="0.25">
      <c r="A16" s="71">
        <v>51471</v>
      </c>
      <c r="B16" s="78"/>
      <c r="C16" s="73">
        <f t="shared" si="1"/>
        <v>985237.73771512706</v>
      </c>
      <c r="D16" s="76"/>
    </row>
    <row r="17" spans="1:5" ht="19.5" customHeight="1" x14ac:dyDescent="0.25">
      <c r="A17" s="71">
        <v>51836</v>
      </c>
      <c r="B17" s="78"/>
      <c r="C17" s="73">
        <f t="shared" si="1"/>
        <v>981296.78676426655</v>
      </c>
      <c r="D17" s="76"/>
    </row>
    <row r="18" spans="1:5" ht="19.5" customHeight="1" x14ac:dyDescent="0.25">
      <c r="A18" s="71">
        <v>52201</v>
      </c>
      <c r="B18" s="78"/>
      <c r="C18" s="73">
        <f t="shared" si="1"/>
        <v>977371.59961720952</v>
      </c>
      <c r="D18" s="76"/>
    </row>
    <row r="19" spans="1:5" ht="19.5" customHeight="1" x14ac:dyDescent="0.25">
      <c r="A19" s="71">
        <v>52566</v>
      </c>
      <c r="B19" s="78"/>
      <c r="C19" s="73">
        <f t="shared" si="1"/>
        <v>973462.11321874068</v>
      </c>
      <c r="D19" s="76"/>
    </row>
    <row r="20" spans="1:5" ht="19.5" customHeight="1" x14ac:dyDescent="0.25">
      <c r="A20" s="71">
        <v>52932</v>
      </c>
      <c r="B20" s="78"/>
      <c r="C20" s="73">
        <f t="shared" si="1"/>
        <v>969568.26476586575</v>
      </c>
      <c r="D20" s="76"/>
    </row>
    <row r="21" spans="1:5" ht="19.5" customHeight="1" x14ac:dyDescent="0.25">
      <c r="A21" s="71">
        <v>53297</v>
      </c>
      <c r="B21" s="78"/>
      <c r="C21" s="73">
        <f t="shared" si="1"/>
        <v>965689.99170680228</v>
      </c>
      <c r="D21" s="76"/>
    </row>
    <row r="22" spans="1:5" ht="19.5" customHeight="1" thickBot="1" x14ac:dyDescent="0.3">
      <c r="A22" s="71">
        <v>53662</v>
      </c>
      <c r="B22" s="78"/>
      <c r="C22" s="73">
        <f t="shared" si="1"/>
        <v>961827.23173997505</v>
      </c>
      <c r="D22" s="76"/>
    </row>
    <row r="23" spans="1:5" ht="19.5" customHeight="1" thickBot="1" x14ac:dyDescent="0.3">
      <c r="A23" s="71">
        <v>53662</v>
      </c>
      <c r="B23" s="79" t="s">
        <v>88</v>
      </c>
      <c r="C23" s="73">
        <f>B24</f>
        <v>1</v>
      </c>
      <c r="D23" s="76"/>
    </row>
    <row r="24" spans="1:5" ht="19.5" customHeight="1" thickBot="1" x14ac:dyDescent="0.3">
      <c r="A24" s="71"/>
      <c r="B24" s="80">
        <v>1</v>
      </c>
      <c r="C24" s="73">
        <f>C23-B24</f>
        <v>0</v>
      </c>
      <c r="D24" s="76"/>
    </row>
    <row r="25" spans="1:5" x14ac:dyDescent="0.25">
      <c r="A25" s="77"/>
      <c r="B25" s="81" t="s">
        <v>87</v>
      </c>
      <c r="C25" s="73">
        <f>SUM(C3:C24)</f>
        <v>20005406.580586173</v>
      </c>
      <c r="D25" s="70">
        <f>C25*9</f>
        <v>180048659.22527555</v>
      </c>
    </row>
    <row r="26" spans="1:5" x14ac:dyDescent="0.25">
      <c r="A26" s="77"/>
      <c r="B26" s="81" t="s">
        <v>86</v>
      </c>
      <c r="C26" s="73">
        <f>C25+C2</f>
        <v>15937590.580586173</v>
      </c>
      <c r="D26" s="82"/>
    </row>
    <row r="27" spans="1:5" x14ac:dyDescent="0.25">
      <c r="C27" s="82"/>
    </row>
    <row r="28" spans="1:5" ht="31.5" thickBot="1" x14ac:dyDescent="0.3">
      <c r="A28" s="68" t="s">
        <v>94</v>
      </c>
      <c r="B28" s="69" t="s">
        <v>96</v>
      </c>
      <c r="C28" s="68" t="s">
        <v>92</v>
      </c>
      <c r="D28" s="68" t="s">
        <v>91</v>
      </c>
      <c r="E28" s="69" t="s">
        <v>90</v>
      </c>
    </row>
    <row r="29" spans="1:5" ht="14.5" thickBot="1" x14ac:dyDescent="0.3">
      <c r="A29" s="71">
        <v>46357</v>
      </c>
      <c r="B29" s="72">
        <f>B2</f>
        <v>4067816</v>
      </c>
      <c r="C29" s="73">
        <f>-B29</f>
        <v>-4067816</v>
      </c>
      <c r="D29" s="74">
        <f>IRR(C29:C49)</f>
        <v>0.19537278419766979</v>
      </c>
      <c r="E29" s="75">
        <f>B29/C30</f>
        <v>4.8202372178044612</v>
      </c>
    </row>
    <row r="30" spans="1:5" ht="14.5" thickBot="1" x14ac:dyDescent="0.3">
      <c r="A30" s="71">
        <v>46722</v>
      </c>
      <c r="B30" s="72">
        <f>B3</f>
        <v>1054879.61904</v>
      </c>
      <c r="C30" s="73">
        <f>B30*B32</f>
        <v>843903.69523200009</v>
      </c>
      <c r="D30" s="76">
        <f>D3</f>
        <v>0.98</v>
      </c>
      <c r="E30" s="112" t="s">
        <v>150</v>
      </c>
    </row>
    <row r="31" spans="1:5" x14ac:dyDescent="0.25">
      <c r="A31" s="71">
        <v>47088</v>
      </c>
      <c r="B31" s="85" t="s">
        <v>95</v>
      </c>
      <c r="C31" s="73">
        <f>C30*D30</f>
        <v>827025.62132736004</v>
      </c>
      <c r="D31" s="6">
        <f>D4</f>
        <v>4.0000000000000001E-3</v>
      </c>
      <c r="E31" s="77" t="s">
        <v>138</v>
      </c>
    </row>
    <row r="32" spans="1:5" x14ac:dyDescent="0.25">
      <c r="A32" s="71">
        <v>47453</v>
      </c>
      <c r="B32" s="86">
        <v>0.8</v>
      </c>
      <c r="C32" s="73">
        <f t="shared" ref="C32:C49" si="2">C31*(1-$D$4)</f>
        <v>823717.51884205057</v>
      </c>
      <c r="D32" s="76"/>
    </row>
    <row r="33" spans="1:4" x14ac:dyDescent="0.25">
      <c r="A33" s="71">
        <v>47818</v>
      </c>
      <c r="B33" s="86"/>
      <c r="C33" s="73">
        <f t="shared" si="2"/>
        <v>820422.64876668237</v>
      </c>
      <c r="D33" s="76"/>
    </row>
    <row r="34" spans="1:4" x14ac:dyDescent="0.25">
      <c r="A34" s="71">
        <v>48183</v>
      </c>
      <c r="B34" s="86"/>
      <c r="C34" s="73">
        <f t="shared" si="2"/>
        <v>817140.95817161561</v>
      </c>
      <c r="D34" s="76"/>
    </row>
    <row r="35" spans="1:4" x14ac:dyDescent="0.25">
      <c r="A35" s="71">
        <v>48549</v>
      </c>
      <c r="B35" s="86"/>
      <c r="C35" s="73">
        <f t="shared" si="2"/>
        <v>813872.39433892909</v>
      </c>
      <c r="D35" s="76"/>
    </row>
    <row r="36" spans="1:4" x14ac:dyDescent="0.25">
      <c r="A36" s="71">
        <v>48914</v>
      </c>
      <c r="B36" s="86"/>
      <c r="C36" s="73">
        <f t="shared" si="2"/>
        <v>810616.90476157342</v>
      </c>
      <c r="D36" s="76"/>
    </row>
    <row r="37" spans="1:4" x14ac:dyDescent="0.25">
      <c r="A37" s="71">
        <v>49279</v>
      </c>
      <c r="B37" s="86"/>
      <c r="C37" s="73">
        <f t="shared" si="2"/>
        <v>807374.43714252708</v>
      </c>
      <c r="D37" s="76"/>
    </row>
    <row r="38" spans="1:4" x14ac:dyDescent="0.25">
      <c r="A38" s="71">
        <v>49644</v>
      </c>
      <c r="B38" s="78"/>
      <c r="C38" s="73">
        <f t="shared" si="2"/>
        <v>804144.93939395691</v>
      </c>
      <c r="D38" s="76"/>
    </row>
    <row r="39" spans="1:4" x14ac:dyDescent="0.25">
      <c r="A39" s="71">
        <v>50010</v>
      </c>
      <c r="B39" s="78"/>
      <c r="C39" s="73">
        <f t="shared" si="2"/>
        <v>800928.35963638104</v>
      </c>
      <c r="D39" s="76"/>
    </row>
    <row r="40" spans="1:4" x14ac:dyDescent="0.25">
      <c r="A40" s="71">
        <v>50375</v>
      </c>
      <c r="B40" s="78"/>
      <c r="C40" s="73">
        <f t="shared" si="2"/>
        <v>797724.64619783557</v>
      </c>
      <c r="D40" s="76"/>
    </row>
    <row r="41" spans="1:4" x14ac:dyDescent="0.25">
      <c r="A41" s="71">
        <v>50740</v>
      </c>
      <c r="B41" s="78"/>
      <c r="C41" s="73">
        <f t="shared" si="2"/>
        <v>794533.74761304422</v>
      </c>
      <c r="D41" s="76"/>
    </row>
    <row r="42" spans="1:4" x14ac:dyDescent="0.25">
      <c r="A42" s="71">
        <v>51105</v>
      </c>
      <c r="B42" s="78"/>
      <c r="C42" s="73">
        <f t="shared" si="2"/>
        <v>791355.61262259202</v>
      </c>
      <c r="D42" s="76"/>
    </row>
    <row r="43" spans="1:4" x14ac:dyDescent="0.25">
      <c r="A43" s="71">
        <v>51471</v>
      </c>
      <c r="B43" s="78"/>
      <c r="C43" s="73">
        <f t="shared" si="2"/>
        <v>788190.1901721016</v>
      </c>
      <c r="D43" s="76"/>
    </row>
    <row r="44" spans="1:4" x14ac:dyDescent="0.25">
      <c r="A44" s="71">
        <v>51836</v>
      </c>
      <c r="B44" s="78"/>
      <c r="C44" s="73">
        <f t="shared" si="2"/>
        <v>785037.42941141315</v>
      </c>
      <c r="D44" s="76"/>
    </row>
    <row r="45" spans="1:4" x14ac:dyDescent="0.25">
      <c r="A45" s="71">
        <v>52201</v>
      </c>
      <c r="B45" s="78"/>
      <c r="C45" s="73">
        <f t="shared" si="2"/>
        <v>781897.27969376754</v>
      </c>
      <c r="D45" s="76"/>
    </row>
    <row r="46" spans="1:4" x14ac:dyDescent="0.25">
      <c r="A46" s="71">
        <v>52566</v>
      </c>
      <c r="B46" s="78"/>
      <c r="C46" s="73">
        <f t="shared" si="2"/>
        <v>778769.69057499245</v>
      </c>
      <c r="D46" s="76"/>
    </row>
    <row r="47" spans="1:4" x14ac:dyDescent="0.25">
      <c r="A47" s="71">
        <v>52932</v>
      </c>
      <c r="B47" s="78"/>
      <c r="C47" s="73">
        <f t="shared" si="2"/>
        <v>775654.61181269248</v>
      </c>
      <c r="D47" s="76"/>
    </row>
    <row r="48" spans="1:4" x14ac:dyDescent="0.25">
      <c r="A48" s="71">
        <v>53297</v>
      </c>
      <c r="B48" s="78"/>
      <c r="C48" s="73">
        <f t="shared" si="2"/>
        <v>772551.99336544168</v>
      </c>
      <c r="D48" s="76"/>
    </row>
    <row r="49" spans="1:5" ht="14.5" thickBot="1" x14ac:dyDescent="0.3">
      <c r="A49" s="71">
        <v>53662</v>
      </c>
      <c r="B49" s="78"/>
      <c r="C49" s="73">
        <f t="shared" si="2"/>
        <v>769461.78539197997</v>
      </c>
      <c r="D49" s="76"/>
    </row>
    <row r="50" spans="1:5" ht="14.5" thickBot="1" x14ac:dyDescent="0.3">
      <c r="A50" s="71">
        <v>53662</v>
      </c>
      <c r="B50" s="79" t="s">
        <v>88</v>
      </c>
      <c r="C50" s="73">
        <f>B51</f>
        <v>1</v>
      </c>
      <c r="D50" s="76"/>
    </row>
    <row r="51" spans="1:5" ht="14.5" thickBot="1" x14ac:dyDescent="0.3">
      <c r="A51" s="71"/>
      <c r="B51" s="80">
        <v>1</v>
      </c>
      <c r="C51" s="73">
        <f>C50-B51</f>
        <v>0</v>
      </c>
      <c r="D51" s="76"/>
    </row>
    <row r="52" spans="1:5" x14ac:dyDescent="0.25">
      <c r="A52" s="77"/>
      <c r="B52" s="81" t="s">
        <v>87</v>
      </c>
      <c r="C52" s="73">
        <f>SUM(C30:C51)</f>
        <v>16004325.464468939</v>
      </c>
      <c r="D52" s="70">
        <f>C52*9</f>
        <v>144038929.18022045</v>
      </c>
    </row>
    <row r="53" spans="1:5" x14ac:dyDescent="0.25">
      <c r="A53" s="77"/>
      <c r="B53" s="81" t="s">
        <v>86</v>
      </c>
      <c r="C53" s="73">
        <f>C52+C29</f>
        <v>11936509.464468939</v>
      </c>
      <c r="D53" s="82"/>
    </row>
    <row r="55" spans="1:5" ht="31.5" thickBot="1" x14ac:dyDescent="0.3">
      <c r="A55" s="68" t="s">
        <v>94</v>
      </c>
      <c r="B55" s="69" t="s">
        <v>96</v>
      </c>
      <c r="C55" s="68" t="s">
        <v>92</v>
      </c>
      <c r="D55" s="68" t="s">
        <v>91</v>
      </c>
      <c r="E55" s="69" t="s">
        <v>90</v>
      </c>
    </row>
    <row r="56" spans="1:5" ht="14.5" thickBot="1" x14ac:dyDescent="0.3">
      <c r="A56" s="71">
        <v>46357</v>
      </c>
      <c r="B56" s="72">
        <f>B29</f>
        <v>4067816</v>
      </c>
      <c r="C56" s="73">
        <f>-B56</f>
        <v>-4067816</v>
      </c>
      <c r="D56" s="74">
        <f>IRR(C56:C76)</f>
        <v>0.1815813921346614</v>
      </c>
      <c r="E56" s="75">
        <f>B56/C57</f>
        <v>5.1415863656580925</v>
      </c>
    </row>
    <row r="57" spans="1:5" ht="14.5" thickBot="1" x14ac:dyDescent="0.3">
      <c r="A57" s="71">
        <v>46722</v>
      </c>
      <c r="B57" s="72">
        <f>B30</f>
        <v>1054879.61904</v>
      </c>
      <c r="C57" s="73">
        <f>B57*B59</f>
        <v>791159.71427999996</v>
      </c>
      <c r="D57" s="76">
        <f>D30</f>
        <v>0.98</v>
      </c>
      <c r="E57" s="112" t="s">
        <v>150</v>
      </c>
    </row>
    <row r="58" spans="1:5" x14ac:dyDescent="0.25">
      <c r="A58" s="71">
        <v>47088</v>
      </c>
      <c r="B58" s="85" t="s">
        <v>95</v>
      </c>
      <c r="C58" s="73">
        <f>C57*D57</f>
        <v>775336.51999439998</v>
      </c>
      <c r="D58" s="6">
        <f>D31</f>
        <v>4.0000000000000001E-3</v>
      </c>
      <c r="E58" s="77" t="s">
        <v>138</v>
      </c>
    </row>
    <row r="59" spans="1:5" x14ac:dyDescent="0.25">
      <c r="A59" s="71">
        <v>47453</v>
      </c>
      <c r="B59" s="86">
        <v>0.75</v>
      </c>
      <c r="C59" s="73">
        <f t="shared" ref="C59:C76" si="3">C58*(1-$D$4)</f>
        <v>772235.1739144224</v>
      </c>
      <c r="D59" s="76"/>
    </row>
    <row r="60" spans="1:5" x14ac:dyDescent="0.25">
      <c r="A60" s="71">
        <v>47818</v>
      </c>
      <c r="B60" s="86"/>
      <c r="C60" s="73">
        <f t="shared" si="3"/>
        <v>769146.23321876465</v>
      </c>
      <c r="D60" s="76"/>
    </row>
    <row r="61" spans="1:5" x14ac:dyDescent="0.25">
      <c r="A61" s="71">
        <v>48183</v>
      </c>
      <c r="B61" s="86"/>
      <c r="C61" s="73">
        <f t="shared" si="3"/>
        <v>766069.64828588965</v>
      </c>
      <c r="D61" s="76"/>
    </row>
    <row r="62" spans="1:5" x14ac:dyDescent="0.25">
      <c r="A62" s="71">
        <v>48549</v>
      </c>
      <c r="B62" s="86"/>
      <c r="C62" s="73">
        <f t="shared" si="3"/>
        <v>763005.36969274608</v>
      </c>
      <c r="D62" s="76"/>
    </row>
    <row r="63" spans="1:5" x14ac:dyDescent="0.25">
      <c r="A63" s="71">
        <v>48914</v>
      </c>
      <c r="B63" s="86"/>
      <c r="C63" s="73">
        <f t="shared" si="3"/>
        <v>759953.34821397508</v>
      </c>
      <c r="D63" s="76"/>
    </row>
    <row r="64" spans="1:5" x14ac:dyDescent="0.25">
      <c r="A64" s="71">
        <v>49279</v>
      </c>
      <c r="B64" s="86"/>
      <c r="C64" s="73">
        <f t="shared" si="3"/>
        <v>756913.53482111916</v>
      </c>
      <c r="D64" s="76"/>
    </row>
    <row r="65" spans="1:4" x14ac:dyDescent="0.25">
      <c r="A65" s="71">
        <v>49644</v>
      </c>
      <c r="B65" s="78"/>
      <c r="C65" s="73">
        <f t="shared" si="3"/>
        <v>753885.88068183465</v>
      </c>
      <c r="D65" s="76"/>
    </row>
    <row r="66" spans="1:4" x14ac:dyDescent="0.25">
      <c r="A66" s="71">
        <v>50010</v>
      </c>
      <c r="B66" s="78"/>
      <c r="C66" s="73">
        <f t="shared" si="3"/>
        <v>750870.33715910732</v>
      </c>
      <c r="D66" s="76"/>
    </row>
    <row r="67" spans="1:4" x14ac:dyDescent="0.25">
      <c r="A67" s="71">
        <v>50375</v>
      </c>
      <c r="B67" s="78"/>
      <c r="C67" s="73">
        <f t="shared" si="3"/>
        <v>747866.85581047088</v>
      </c>
      <c r="D67" s="76"/>
    </row>
    <row r="68" spans="1:4" x14ac:dyDescent="0.25">
      <c r="A68" s="71">
        <v>50740</v>
      </c>
      <c r="B68" s="78"/>
      <c r="C68" s="73">
        <f t="shared" si="3"/>
        <v>744875.38838722894</v>
      </c>
      <c r="D68" s="76"/>
    </row>
    <row r="69" spans="1:4" x14ac:dyDescent="0.25">
      <c r="A69" s="71">
        <v>51105</v>
      </c>
      <c r="B69" s="78"/>
      <c r="C69" s="73">
        <f t="shared" si="3"/>
        <v>741895.88683367998</v>
      </c>
      <c r="D69" s="76"/>
    </row>
    <row r="70" spans="1:4" x14ac:dyDescent="0.25">
      <c r="A70" s="71">
        <v>51471</v>
      </c>
      <c r="B70" s="78"/>
      <c r="C70" s="73">
        <f t="shared" si="3"/>
        <v>738928.30328634521</v>
      </c>
      <c r="D70" s="76"/>
    </row>
    <row r="71" spans="1:4" x14ac:dyDescent="0.25">
      <c r="A71" s="71">
        <v>51836</v>
      </c>
      <c r="B71" s="78"/>
      <c r="C71" s="73">
        <f t="shared" si="3"/>
        <v>735972.59007319983</v>
      </c>
      <c r="D71" s="76"/>
    </row>
    <row r="72" spans="1:4" x14ac:dyDescent="0.25">
      <c r="A72" s="71">
        <v>52201</v>
      </c>
      <c r="B72" s="78"/>
      <c r="C72" s="73">
        <f t="shared" si="3"/>
        <v>733028.69971290708</v>
      </c>
      <c r="D72" s="76"/>
    </row>
    <row r="73" spans="1:4" x14ac:dyDescent="0.25">
      <c r="A73" s="71">
        <v>52566</v>
      </c>
      <c r="B73" s="78"/>
      <c r="C73" s="73">
        <f t="shared" si="3"/>
        <v>730096.58491405542</v>
      </c>
      <c r="D73" s="76"/>
    </row>
    <row r="74" spans="1:4" x14ac:dyDescent="0.25">
      <c r="A74" s="71">
        <v>52932</v>
      </c>
      <c r="B74" s="78"/>
      <c r="C74" s="73">
        <f t="shared" si="3"/>
        <v>727176.19857439923</v>
      </c>
      <c r="D74" s="76"/>
    </row>
    <row r="75" spans="1:4" x14ac:dyDescent="0.25">
      <c r="A75" s="71">
        <v>53297</v>
      </c>
      <c r="B75" s="78"/>
      <c r="C75" s="73">
        <f t="shared" si="3"/>
        <v>724267.49378010165</v>
      </c>
      <c r="D75" s="76"/>
    </row>
    <row r="76" spans="1:4" ht="14.5" thickBot="1" x14ac:dyDescent="0.3">
      <c r="A76" s="71">
        <v>53662</v>
      </c>
      <c r="B76" s="78"/>
      <c r="C76" s="73">
        <f t="shared" si="3"/>
        <v>721370.42380498128</v>
      </c>
      <c r="D76" s="76"/>
    </row>
    <row r="77" spans="1:4" ht="14.5" thickBot="1" x14ac:dyDescent="0.3">
      <c r="A77" s="71">
        <v>53662</v>
      </c>
      <c r="B77" s="79" t="s">
        <v>88</v>
      </c>
      <c r="C77" s="73">
        <f>B78</f>
        <v>1</v>
      </c>
      <c r="D77" s="76"/>
    </row>
    <row r="78" spans="1:4" ht="14.5" thickBot="1" x14ac:dyDescent="0.3">
      <c r="A78" s="71"/>
      <c r="B78" s="80">
        <v>1</v>
      </c>
      <c r="C78" s="73">
        <f>C77-B78</f>
        <v>0</v>
      </c>
      <c r="D78" s="76"/>
    </row>
    <row r="79" spans="1:4" x14ac:dyDescent="0.25">
      <c r="A79" s="77"/>
      <c r="B79" s="81" t="s">
        <v>87</v>
      </c>
      <c r="C79" s="73">
        <f>SUM(C57:C78)</f>
        <v>15004055.185439629</v>
      </c>
      <c r="D79" s="70">
        <f>C79*9</f>
        <v>135036496.66895667</v>
      </c>
    </row>
    <row r="80" spans="1:4" x14ac:dyDescent="0.25">
      <c r="A80" s="77"/>
      <c r="B80" s="81" t="s">
        <v>86</v>
      </c>
      <c r="C80" s="73">
        <f>C79+C56</f>
        <v>10936239.185439629</v>
      </c>
      <c r="D80" s="82"/>
    </row>
    <row r="82" spans="1:5" ht="31.5" thickBot="1" x14ac:dyDescent="0.3">
      <c r="A82" s="68" t="s">
        <v>94</v>
      </c>
      <c r="B82" s="69" t="s">
        <v>96</v>
      </c>
      <c r="C82" s="68" t="s">
        <v>92</v>
      </c>
      <c r="D82" s="68" t="s">
        <v>91</v>
      </c>
      <c r="E82" s="69" t="s">
        <v>90</v>
      </c>
    </row>
    <row r="83" spans="1:5" ht="14.5" thickBot="1" x14ac:dyDescent="0.3">
      <c r="A83" s="71">
        <v>46357</v>
      </c>
      <c r="B83" s="72">
        <f>B56</f>
        <v>4067816</v>
      </c>
      <c r="C83" s="73">
        <f>-B83</f>
        <v>-4067816</v>
      </c>
      <c r="D83" s="74">
        <f>IRR(C83:C103)</f>
        <v>0.1676057578288126</v>
      </c>
      <c r="E83" s="75">
        <f>B83/C84</f>
        <v>5.5088425346336711</v>
      </c>
    </row>
    <row r="84" spans="1:5" ht="14.5" thickBot="1" x14ac:dyDescent="0.3">
      <c r="A84" s="71">
        <v>46722</v>
      </c>
      <c r="B84" s="72">
        <f>B57</f>
        <v>1054879.61904</v>
      </c>
      <c r="C84" s="73">
        <f>B84*B86</f>
        <v>738415.73332799994</v>
      </c>
      <c r="D84" s="76">
        <f>D57</f>
        <v>0.98</v>
      </c>
      <c r="E84" s="112" t="s">
        <v>150</v>
      </c>
    </row>
    <row r="85" spans="1:5" x14ac:dyDescent="0.25">
      <c r="A85" s="71">
        <v>47088</v>
      </c>
      <c r="B85" s="85" t="s">
        <v>95</v>
      </c>
      <c r="C85" s="73">
        <f>C84*D84</f>
        <v>723647.41866143991</v>
      </c>
      <c r="D85" s="6">
        <f>D58</f>
        <v>4.0000000000000001E-3</v>
      </c>
      <c r="E85" s="77" t="s">
        <v>138</v>
      </c>
    </row>
    <row r="86" spans="1:5" x14ac:dyDescent="0.25">
      <c r="A86" s="71">
        <v>47453</v>
      </c>
      <c r="B86" s="86">
        <v>0.7</v>
      </c>
      <c r="C86" s="73">
        <f t="shared" ref="C86:C103" si="4">C85*(1-$D$4)</f>
        <v>720752.82898679411</v>
      </c>
      <c r="D86" s="76"/>
    </row>
    <row r="87" spans="1:5" x14ac:dyDescent="0.25">
      <c r="A87" s="71">
        <v>47818</v>
      </c>
      <c r="B87" s="86"/>
      <c r="C87" s="73">
        <f t="shared" si="4"/>
        <v>717869.81767084694</v>
      </c>
      <c r="D87" s="76"/>
    </row>
    <row r="88" spans="1:5" x14ac:dyDescent="0.25">
      <c r="A88" s="71">
        <v>48183</v>
      </c>
      <c r="B88" s="86"/>
      <c r="C88" s="73">
        <f t="shared" si="4"/>
        <v>714998.33840016357</v>
      </c>
      <c r="D88" s="76"/>
    </row>
    <row r="89" spans="1:5" x14ac:dyDescent="0.25">
      <c r="A89" s="71">
        <v>48549</v>
      </c>
      <c r="B89" s="86"/>
      <c r="C89" s="73">
        <f t="shared" si="4"/>
        <v>712138.34504656296</v>
      </c>
      <c r="D89" s="76"/>
    </row>
    <row r="90" spans="1:5" x14ac:dyDescent="0.25">
      <c r="A90" s="71">
        <v>48914</v>
      </c>
      <c r="B90" s="86"/>
      <c r="C90" s="73">
        <f t="shared" si="4"/>
        <v>709289.79166637675</v>
      </c>
      <c r="D90" s="76"/>
    </row>
    <row r="91" spans="1:5" x14ac:dyDescent="0.25">
      <c r="A91" s="71">
        <v>49279</v>
      </c>
      <c r="B91" s="86"/>
      <c r="C91" s="73">
        <f t="shared" si="4"/>
        <v>706452.63249971124</v>
      </c>
      <c r="D91" s="76"/>
    </row>
    <row r="92" spans="1:5" x14ac:dyDescent="0.25">
      <c r="A92" s="71">
        <v>49644</v>
      </c>
      <c r="B92" s="78"/>
      <c r="C92" s="73">
        <f t="shared" si="4"/>
        <v>703626.82196971239</v>
      </c>
      <c r="D92" s="76"/>
    </row>
    <row r="93" spans="1:5" x14ac:dyDescent="0.25">
      <c r="A93" s="71">
        <v>50010</v>
      </c>
      <c r="B93" s="78"/>
      <c r="C93" s="73">
        <f t="shared" si="4"/>
        <v>700812.31468183349</v>
      </c>
      <c r="D93" s="76"/>
    </row>
    <row r="94" spans="1:5" x14ac:dyDescent="0.25">
      <c r="A94" s="71">
        <v>50375</v>
      </c>
      <c r="B94" s="78"/>
      <c r="C94" s="73">
        <f t="shared" si="4"/>
        <v>698009.06542310619</v>
      </c>
      <c r="D94" s="76"/>
    </row>
    <row r="95" spans="1:5" x14ac:dyDescent="0.25">
      <c r="A95" s="71">
        <v>50740</v>
      </c>
      <c r="B95" s="78"/>
      <c r="C95" s="73">
        <f t="shared" si="4"/>
        <v>695217.02916141378</v>
      </c>
      <c r="D95" s="76"/>
    </row>
    <row r="96" spans="1:5" x14ac:dyDescent="0.25">
      <c r="A96" s="71">
        <v>51105</v>
      </c>
      <c r="B96" s="78"/>
      <c r="C96" s="73">
        <f t="shared" si="4"/>
        <v>692436.16104476817</v>
      </c>
      <c r="D96" s="76"/>
    </row>
    <row r="97" spans="1:5" x14ac:dyDescent="0.25">
      <c r="A97" s="71">
        <v>51471</v>
      </c>
      <c r="B97" s="78"/>
      <c r="C97" s="73">
        <f t="shared" si="4"/>
        <v>689666.41640058905</v>
      </c>
      <c r="D97" s="76"/>
    </row>
    <row r="98" spans="1:5" x14ac:dyDescent="0.25">
      <c r="A98" s="71">
        <v>51836</v>
      </c>
      <c r="B98" s="78"/>
      <c r="C98" s="73">
        <f t="shared" si="4"/>
        <v>686907.75073498674</v>
      </c>
      <c r="D98" s="76"/>
    </row>
    <row r="99" spans="1:5" x14ac:dyDescent="0.25">
      <c r="A99" s="71">
        <v>52201</v>
      </c>
      <c r="B99" s="78"/>
      <c r="C99" s="73">
        <f t="shared" si="4"/>
        <v>684160.11973204673</v>
      </c>
      <c r="D99" s="76"/>
    </row>
    <row r="100" spans="1:5" x14ac:dyDescent="0.25">
      <c r="A100" s="71">
        <v>52566</v>
      </c>
      <c r="B100" s="78"/>
      <c r="C100" s="73">
        <f t="shared" si="4"/>
        <v>681423.47925311851</v>
      </c>
      <c r="D100" s="76"/>
    </row>
    <row r="101" spans="1:5" x14ac:dyDescent="0.25">
      <c r="A101" s="71">
        <v>52932</v>
      </c>
      <c r="B101" s="78"/>
      <c r="C101" s="73">
        <f t="shared" si="4"/>
        <v>678697.78533610608</v>
      </c>
      <c r="D101" s="76"/>
    </row>
    <row r="102" spans="1:5" x14ac:dyDescent="0.25">
      <c r="A102" s="71">
        <v>53297</v>
      </c>
      <c r="B102" s="78"/>
      <c r="C102" s="73">
        <f t="shared" si="4"/>
        <v>675982.99419476162</v>
      </c>
      <c r="D102" s="76"/>
    </row>
    <row r="103" spans="1:5" ht="14.5" thickBot="1" x14ac:dyDescent="0.3">
      <c r="A103" s="71">
        <v>53662</v>
      </c>
      <c r="B103" s="78"/>
      <c r="C103" s="73">
        <f t="shared" si="4"/>
        <v>673279.0622179826</v>
      </c>
      <c r="D103" s="76"/>
    </row>
    <row r="104" spans="1:5" ht="14.5" thickBot="1" x14ac:dyDescent="0.3">
      <c r="A104" s="71">
        <v>53662</v>
      </c>
      <c r="B104" s="79" t="s">
        <v>88</v>
      </c>
      <c r="C104" s="73">
        <f>B105</f>
        <v>1</v>
      </c>
      <c r="D104" s="76"/>
    </row>
    <row r="105" spans="1:5" ht="14.5" thickBot="1" x14ac:dyDescent="0.3">
      <c r="A105" s="71"/>
      <c r="B105" s="80">
        <v>1</v>
      </c>
      <c r="C105" s="73">
        <f>C104-B105</f>
        <v>0</v>
      </c>
      <c r="D105" s="76"/>
    </row>
    <row r="106" spans="1:5" x14ac:dyDescent="0.25">
      <c r="A106" s="77"/>
      <c r="B106" s="81" t="s">
        <v>87</v>
      </c>
      <c r="C106" s="73">
        <f>SUM(C84:C105)</f>
        <v>14003784.90641032</v>
      </c>
      <c r="D106" s="70">
        <f>C106*9</f>
        <v>126034064.15769288</v>
      </c>
    </row>
    <row r="107" spans="1:5" x14ac:dyDescent="0.25">
      <c r="A107" s="77"/>
      <c r="B107" s="81" t="s">
        <v>86</v>
      </c>
      <c r="C107" s="73">
        <f>C106+C83</f>
        <v>9935968.9064103197</v>
      </c>
      <c r="D107" s="82"/>
    </row>
    <row r="109" spans="1:5" ht="31.5" thickBot="1" x14ac:dyDescent="0.3">
      <c r="A109" s="68" t="s">
        <v>94</v>
      </c>
      <c r="B109" s="69" t="s">
        <v>96</v>
      </c>
      <c r="C109" s="68" t="s">
        <v>92</v>
      </c>
      <c r="D109" s="68" t="s">
        <v>91</v>
      </c>
      <c r="E109" s="69" t="s">
        <v>90</v>
      </c>
    </row>
    <row r="110" spans="1:5" ht="14.5" thickBot="1" x14ac:dyDescent="0.3">
      <c r="A110" s="71">
        <v>46357</v>
      </c>
      <c r="B110" s="72">
        <f>B83</f>
        <v>4067816</v>
      </c>
      <c r="C110" s="73">
        <f>-B110</f>
        <v>-4067816</v>
      </c>
      <c r="D110" s="74">
        <f>IRR(C110:C130)</f>
        <v>0.15340606671093071</v>
      </c>
      <c r="E110" s="75">
        <f>B110/C111</f>
        <v>5.9325996526824136</v>
      </c>
    </row>
    <row r="111" spans="1:5" ht="14.5" thickBot="1" x14ac:dyDescent="0.3">
      <c r="A111" s="71">
        <v>46722</v>
      </c>
      <c r="B111" s="72">
        <f>B84</f>
        <v>1054879.61904</v>
      </c>
      <c r="C111" s="73">
        <f>B111*B113</f>
        <v>685671.75237600005</v>
      </c>
      <c r="D111" s="76">
        <f>D84</f>
        <v>0.98</v>
      </c>
      <c r="E111" s="112" t="s">
        <v>150</v>
      </c>
    </row>
    <row r="112" spans="1:5" x14ac:dyDescent="0.25">
      <c r="A112" s="71">
        <v>47088</v>
      </c>
      <c r="B112" s="85" t="s">
        <v>95</v>
      </c>
      <c r="C112" s="73">
        <f>C111*D111</f>
        <v>671958.31732848007</v>
      </c>
      <c r="D112" s="6">
        <f>D85</f>
        <v>4.0000000000000001E-3</v>
      </c>
      <c r="E112" s="77" t="s">
        <v>138</v>
      </c>
    </row>
    <row r="113" spans="1:4" x14ac:dyDescent="0.25">
      <c r="A113" s="71">
        <v>47453</v>
      </c>
      <c r="B113" s="86">
        <v>0.65</v>
      </c>
      <c r="C113" s="73">
        <f t="shared" ref="C113:C130" si="5">C112*(1-$D$4)</f>
        <v>669270.48405916616</v>
      </c>
      <c r="D113" s="76"/>
    </row>
    <row r="114" spans="1:4" x14ac:dyDescent="0.25">
      <c r="A114" s="71">
        <v>47818</v>
      </c>
      <c r="B114" s="86"/>
      <c r="C114" s="73">
        <f t="shared" si="5"/>
        <v>666593.40212292946</v>
      </c>
      <c r="D114" s="76"/>
    </row>
    <row r="115" spans="1:4" x14ac:dyDescent="0.25">
      <c r="A115" s="71">
        <v>48183</v>
      </c>
      <c r="B115" s="86"/>
      <c r="C115" s="73">
        <f t="shared" si="5"/>
        <v>663927.02851443773</v>
      </c>
      <c r="D115" s="76"/>
    </row>
    <row r="116" spans="1:4" x14ac:dyDescent="0.25">
      <c r="A116" s="71">
        <v>48549</v>
      </c>
      <c r="B116" s="86"/>
      <c r="C116" s="73">
        <f t="shared" si="5"/>
        <v>661271.32040037995</v>
      </c>
      <c r="D116" s="76"/>
    </row>
    <row r="117" spans="1:4" x14ac:dyDescent="0.25">
      <c r="A117" s="71">
        <v>48914</v>
      </c>
      <c r="B117" s="86"/>
      <c r="C117" s="73">
        <f t="shared" si="5"/>
        <v>658626.23511877842</v>
      </c>
      <c r="D117" s="76"/>
    </row>
    <row r="118" spans="1:4" x14ac:dyDescent="0.25">
      <c r="A118" s="71">
        <v>49279</v>
      </c>
      <c r="B118" s="86"/>
      <c r="C118" s="73">
        <f t="shared" si="5"/>
        <v>655991.73017830332</v>
      </c>
      <c r="D118" s="76"/>
    </row>
    <row r="119" spans="1:4" x14ac:dyDescent="0.25">
      <c r="A119" s="71">
        <v>49644</v>
      </c>
      <c r="B119" s="78"/>
      <c r="C119" s="73">
        <f t="shared" si="5"/>
        <v>653367.76325759012</v>
      </c>
      <c r="D119" s="76"/>
    </row>
    <row r="120" spans="1:4" x14ac:dyDescent="0.25">
      <c r="A120" s="71">
        <v>50010</v>
      </c>
      <c r="B120" s="78"/>
      <c r="C120" s="73">
        <f t="shared" si="5"/>
        <v>650754.29220455978</v>
      </c>
      <c r="D120" s="76"/>
    </row>
    <row r="121" spans="1:4" x14ac:dyDescent="0.25">
      <c r="A121" s="71">
        <v>50375</v>
      </c>
      <c r="B121" s="78"/>
      <c r="C121" s="73">
        <f t="shared" si="5"/>
        <v>648151.27503574151</v>
      </c>
      <c r="D121" s="76"/>
    </row>
    <row r="122" spans="1:4" x14ac:dyDescent="0.25">
      <c r="A122" s="71">
        <v>50740</v>
      </c>
      <c r="B122" s="78"/>
      <c r="C122" s="73">
        <f t="shared" si="5"/>
        <v>645558.6699355985</v>
      </c>
      <c r="D122" s="76"/>
    </row>
    <row r="123" spans="1:4" x14ac:dyDescent="0.25">
      <c r="A123" s="71">
        <v>51105</v>
      </c>
      <c r="B123" s="78"/>
      <c r="C123" s="73">
        <f t="shared" si="5"/>
        <v>642976.43525585614</v>
      </c>
      <c r="D123" s="76"/>
    </row>
    <row r="124" spans="1:4" x14ac:dyDescent="0.25">
      <c r="A124" s="71">
        <v>51471</v>
      </c>
      <c r="B124" s="78"/>
      <c r="C124" s="73">
        <f t="shared" si="5"/>
        <v>640404.52951483265</v>
      </c>
      <c r="D124" s="76"/>
    </row>
    <row r="125" spans="1:4" x14ac:dyDescent="0.25">
      <c r="A125" s="71">
        <v>51836</v>
      </c>
      <c r="B125" s="78"/>
      <c r="C125" s="73">
        <f t="shared" si="5"/>
        <v>637842.9113967733</v>
      </c>
      <c r="D125" s="76"/>
    </row>
    <row r="126" spans="1:4" x14ac:dyDescent="0.25">
      <c r="A126" s="71">
        <v>52201</v>
      </c>
      <c r="B126" s="78"/>
      <c r="C126" s="73">
        <f t="shared" si="5"/>
        <v>635291.53975118615</v>
      </c>
      <c r="D126" s="76"/>
    </row>
    <row r="127" spans="1:4" x14ac:dyDescent="0.25">
      <c r="A127" s="71">
        <v>52566</v>
      </c>
      <c r="B127" s="78"/>
      <c r="C127" s="73">
        <f t="shared" si="5"/>
        <v>632750.37359218136</v>
      </c>
      <c r="D127" s="76"/>
    </row>
    <row r="128" spans="1:4" x14ac:dyDescent="0.25">
      <c r="A128" s="71">
        <v>52932</v>
      </c>
      <c r="B128" s="78"/>
      <c r="C128" s="73">
        <f t="shared" si="5"/>
        <v>630219.37209781259</v>
      </c>
      <c r="D128" s="76"/>
    </row>
    <row r="129" spans="1:5" x14ac:dyDescent="0.25">
      <c r="A129" s="71">
        <v>53297</v>
      </c>
      <c r="B129" s="78"/>
      <c r="C129" s="73">
        <f t="shared" si="5"/>
        <v>627698.49460942135</v>
      </c>
      <c r="D129" s="76"/>
    </row>
    <row r="130" spans="1:5" ht="14.5" thickBot="1" x14ac:dyDescent="0.3">
      <c r="A130" s="71">
        <v>53662</v>
      </c>
      <c r="B130" s="78"/>
      <c r="C130" s="73">
        <f t="shared" si="5"/>
        <v>625187.70063098369</v>
      </c>
      <c r="D130" s="76"/>
    </row>
    <row r="131" spans="1:5" ht="14.5" thickBot="1" x14ac:dyDescent="0.3">
      <c r="A131" s="71">
        <v>53662</v>
      </c>
      <c r="B131" s="79" t="s">
        <v>88</v>
      </c>
      <c r="C131" s="73">
        <f>B132</f>
        <v>1</v>
      </c>
      <c r="D131" s="76"/>
    </row>
    <row r="132" spans="1:5" ht="14.5" thickBot="1" x14ac:dyDescent="0.3">
      <c r="A132" s="71"/>
      <c r="B132" s="80">
        <v>1</v>
      </c>
      <c r="C132" s="73">
        <f>C131-B132</f>
        <v>0</v>
      </c>
      <c r="D132" s="76"/>
    </row>
    <row r="133" spans="1:5" x14ac:dyDescent="0.25">
      <c r="A133" s="77"/>
      <c r="B133" s="81" t="s">
        <v>87</v>
      </c>
      <c r="C133" s="73">
        <f>SUM(C111:C132)</f>
        <v>13003514.627381012</v>
      </c>
      <c r="D133" s="70">
        <f>C133*9</f>
        <v>117031631.64642911</v>
      </c>
    </row>
    <row r="134" spans="1:5" x14ac:dyDescent="0.25">
      <c r="A134" s="77"/>
      <c r="B134" s="81" t="s">
        <v>86</v>
      </c>
      <c r="C134" s="73">
        <f>C133+C110</f>
        <v>8935698.6273810118</v>
      </c>
      <c r="D134" s="82"/>
    </row>
    <row r="136" spans="1:5" ht="31.5" thickBot="1" x14ac:dyDescent="0.3">
      <c r="A136" s="68" t="s">
        <v>94</v>
      </c>
      <c r="B136" s="69" t="s">
        <v>96</v>
      </c>
      <c r="C136" s="68" t="s">
        <v>92</v>
      </c>
      <c r="D136" s="68" t="s">
        <v>91</v>
      </c>
      <c r="E136" s="69" t="s">
        <v>90</v>
      </c>
    </row>
    <row r="137" spans="1:5" ht="14.5" thickBot="1" x14ac:dyDescent="0.3">
      <c r="A137" s="71">
        <v>46357</v>
      </c>
      <c r="B137" s="72">
        <f>B110</f>
        <v>4067816</v>
      </c>
      <c r="C137" s="73">
        <f>-B137</f>
        <v>-4067816</v>
      </c>
      <c r="D137" s="74">
        <f>IRR(C137:C157)</f>
        <v>0.13893236901624895</v>
      </c>
      <c r="E137" s="75">
        <f>B137/C138</f>
        <v>6.4269829570726156</v>
      </c>
    </row>
    <row r="138" spans="1:5" ht="14.5" thickBot="1" x14ac:dyDescent="0.3">
      <c r="A138" s="71">
        <v>46722</v>
      </c>
      <c r="B138" s="72">
        <f>B111</f>
        <v>1054879.61904</v>
      </c>
      <c r="C138" s="73">
        <f>B138*B140</f>
        <v>632927.77142400004</v>
      </c>
      <c r="D138" s="76">
        <f>D111</f>
        <v>0.98</v>
      </c>
      <c r="E138" s="112" t="s">
        <v>150</v>
      </c>
    </row>
    <row r="139" spans="1:5" x14ac:dyDescent="0.25">
      <c r="A139" s="71">
        <v>47088</v>
      </c>
      <c r="B139" s="85" t="s">
        <v>95</v>
      </c>
      <c r="C139" s="73">
        <f>C138*D138</f>
        <v>620269.21599552</v>
      </c>
      <c r="D139" s="6">
        <f>D112</f>
        <v>4.0000000000000001E-3</v>
      </c>
      <c r="E139" s="77" t="s">
        <v>138</v>
      </c>
    </row>
    <row r="140" spans="1:5" x14ac:dyDescent="0.25">
      <c r="A140" s="71">
        <v>47453</v>
      </c>
      <c r="B140" s="86">
        <v>0.6</v>
      </c>
      <c r="C140" s="73">
        <f t="shared" ref="C140:C157" si="6">C139*(1-$D$4)</f>
        <v>617788.13913153787</v>
      </c>
      <c r="D140" s="76"/>
    </row>
    <row r="141" spans="1:5" x14ac:dyDescent="0.25">
      <c r="A141" s="71">
        <v>47818</v>
      </c>
      <c r="B141" s="86"/>
      <c r="C141" s="73">
        <f t="shared" si="6"/>
        <v>615316.98657501175</v>
      </c>
      <c r="D141" s="76"/>
    </row>
    <row r="142" spans="1:5" x14ac:dyDescent="0.25">
      <c r="A142" s="71">
        <v>48183</v>
      </c>
      <c r="B142" s="86"/>
      <c r="C142" s="73">
        <f t="shared" si="6"/>
        <v>612855.71862871165</v>
      </c>
      <c r="D142" s="76"/>
    </row>
    <row r="143" spans="1:5" x14ac:dyDescent="0.25">
      <c r="A143" s="71">
        <v>48549</v>
      </c>
      <c r="B143" s="86"/>
      <c r="C143" s="73">
        <f t="shared" si="6"/>
        <v>610404.29575419682</v>
      </c>
      <c r="D143" s="76"/>
    </row>
    <row r="144" spans="1:5" x14ac:dyDescent="0.25">
      <c r="A144" s="71">
        <v>48914</v>
      </c>
      <c r="B144" s="86"/>
      <c r="C144" s="73">
        <f t="shared" si="6"/>
        <v>607962.67857117997</v>
      </c>
      <c r="D144" s="76"/>
    </row>
    <row r="145" spans="1:4" x14ac:dyDescent="0.25">
      <c r="A145" s="71">
        <v>49279</v>
      </c>
      <c r="B145" s="86"/>
      <c r="C145" s="73">
        <f t="shared" si="6"/>
        <v>605530.82785689528</v>
      </c>
      <c r="D145" s="76"/>
    </row>
    <row r="146" spans="1:4" x14ac:dyDescent="0.25">
      <c r="A146" s="71">
        <v>49644</v>
      </c>
      <c r="B146" s="78"/>
      <c r="C146" s="73">
        <f t="shared" si="6"/>
        <v>603108.70454546774</v>
      </c>
      <c r="D146" s="76"/>
    </row>
    <row r="147" spans="1:4" x14ac:dyDescent="0.25">
      <c r="A147" s="71">
        <v>50010</v>
      </c>
      <c r="B147" s="78"/>
      <c r="C147" s="73">
        <f t="shared" si="6"/>
        <v>600696.26972728583</v>
      </c>
      <c r="D147" s="76"/>
    </row>
    <row r="148" spans="1:4" x14ac:dyDescent="0.25">
      <c r="A148" s="71">
        <v>50375</v>
      </c>
      <c r="B148" s="78"/>
      <c r="C148" s="73">
        <f t="shared" si="6"/>
        <v>598293.4846483767</v>
      </c>
      <c r="D148" s="76"/>
    </row>
    <row r="149" spans="1:4" x14ac:dyDescent="0.25">
      <c r="A149" s="71">
        <v>50740</v>
      </c>
      <c r="B149" s="78"/>
      <c r="C149" s="73">
        <f t="shared" si="6"/>
        <v>595900.31070978323</v>
      </c>
      <c r="D149" s="76"/>
    </row>
    <row r="150" spans="1:4" x14ac:dyDescent="0.25">
      <c r="A150" s="71">
        <v>51105</v>
      </c>
      <c r="B150" s="78"/>
      <c r="C150" s="73">
        <f t="shared" si="6"/>
        <v>593516.7094669441</v>
      </c>
      <c r="D150" s="76"/>
    </row>
    <row r="151" spans="1:4" x14ac:dyDescent="0.25">
      <c r="A151" s="71">
        <v>51471</v>
      </c>
      <c r="B151" s="78"/>
      <c r="C151" s="73">
        <f t="shared" si="6"/>
        <v>591142.64262907638</v>
      </c>
      <c r="D151" s="76"/>
    </row>
    <row r="152" spans="1:4" x14ac:dyDescent="0.25">
      <c r="A152" s="71">
        <v>51836</v>
      </c>
      <c r="B152" s="78"/>
      <c r="C152" s="73">
        <f t="shared" si="6"/>
        <v>588778.07205856009</v>
      </c>
      <c r="D152" s="76"/>
    </row>
    <row r="153" spans="1:4" x14ac:dyDescent="0.25">
      <c r="A153" s="71">
        <v>52201</v>
      </c>
      <c r="B153" s="78"/>
      <c r="C153" s="73">
        <f t="shared" si="6"/>
        <v>586422.9597703258</v>
      </c>
      <c r="D153" s="76"/>
    </row>
    <row r="154" spans="1:4" x14ac:dyDescent="0.25">
      <c r="A154" s="71">
        <v>52566</v>
      </c>
      <c r="B154" s="78"/>
      <c r="C154" s="73">
        <f t="shared" si="6"/>
        <v>584077.26793124445</v>
      </c>
      <c r="D154" s="76"/>
    </row>
    <row r="155" spans="1:4" x14ac:dyDescent="0.25">
      <c r="A155" s="71">
        <v>52932</v>
      </c>
      <c r="B155" s="78"/>
      <c r="C155" s="73">
        <f t="shared" si="6"/>
        <v>581740.95885951945</v>
      </c>
      <c r="D155" s="76"/>
    </row>
    <row r="156" spans="1:4" x14ac:dyDescent="0.25">
      <c r="A156" s="71">
        <v>53297</v>
      </c>
      <c r="B156" s="78"/>
      <c r="C156" s="73">
        <f t="shared" si="6"/>
        <v>579413.99502408132</v>
      </c>
      <c r="D156" s="76"/>
    </row>
    <row r="157" spans="1:4" ht="14.5" thickBot="1" x14ac:dyDescent="0.3">
      <c r="A157" s="71">
        <v>53662</v>
      </c>
      <c r="B157" s="78"/>
      <c r="C157" s="73">
        <f t="shared" si="6"/>
        <v>577096.339043985</v>
      </c>
      <c r="D157" s="76"/>
    </row>
    <row r="158" spans="1:4" ht="14.5" thickBot="1" x14ac:dyDescent="0.3">
      <c r="A158" s="71">
        <v>53662</v>
      </c>
      <c r="B158" s="79" t="s">
        <v>88</v>
      </c>
      <c r="C158" s="73">
        <f>B159</f>
        <v>1</v>
      </c>
      <c r="D158" s="76"/>
    </row>
    <row r="159" spans="1:4" ht="14.5" thickBot="1" x14ac:dyDescent="0.3">
      <c r="A159" s="71"/>
      <c r="B159" s="80">
        <v>1</v>
      </c>
      <c r="C159" s="73">
        <f>C158-B159</f>
        <v>0</v>
      </c>
      <c r="D159" s="76"/>
    </row>
    <row r="160" spans="1:4" x14ac:dyDescent="0.25">
      <c r="A160" s="77"/>
      <c r="B160" s="81" t="s">
        <v>87</v>
      </c>
      <c r="C160" s="73">
        <f>SUM(C138:C159)</f>
        <v>12003244.348351706</v>
      </c>
      <c r="D160" s="70">
        <f>C160*9</f>
        <v>108029199.13516535</v>
      </c>
    </row>
    <row r="161" spans="1:5" x14ac:dyDescent="0.25">
      <c r="A161" s="77"/>
      <c r="B161" s="81" t="s">
        <v>86</v>
      </c>
      <c r="C161" s="73">
        <f>C160+C137</f>
        <v>7935428.3483517058</v>
      </c>
      <c r="D161" s="82"/>
    </row>
    <row r="163" spans="1:5" ht="31.5" thickBot="1" x14ac:dyDescent="0.3">
      <c r="A163" s="68" t="s">
        <v>94</v>
      </c>
      <c r="B163" s="69" t="s">
        <v>96</v>
      </c>
      <c r="C163" s="68" t="s">
        <v>92</v>
      </c>
      <c r="D163" s="68" t="s">
        <v>91</v>
      </c>
      <c r="E163" s="69" t="s">
        <v>90</v>
      </c>
    </row>
    <row r="164" spans="1:5" ht="14.5" thickBot="1" x14ac:dyDescent="0.3">
      <c r="A164" s="71">
        <v>46357</v>
      </c>
      <c r="B164" s="72">
        <f>B137</f>
        <v>4067816</v>
      </c>
      <c r="C164" s="73">
        <f>-B164</f>
        <v>-4067816</v>
      </c>
      <c r="D164" s="74">
        <f>IRR(C164:C184)</f>
        <v>0.12412119977853342</v>
      </c>
      <c r="E164" s="75">
        <f>B164/C165</f>
        <v>7.0112541349883077</v>
      </c>
    </row>
    <row r="165" spans="1:5" ht="14.5" thickBot="1" x14ac:dyDescent="0.3">
      <c r="A165" s="71">
        <v>46722</v>
      </c>
      <c r="B165" s="72">
        <f>B138</f>
        <v>1054879.61904</v>
      </c>
      <c r="C165" s="73">
        <f>B165*B167</f>
        <v>580183.79047200002</v>
      </c>
      <c r="D165" s="76">
        <f>D138</f>
        <v>0.98</v>
      </c>
      <c r="E165" s="112" t="s">
        <v>150</v>
      </c>
    </row>
    <row r="166" spans="1:5" x14ac:dyDescent="0.25">
      <c r="A166" s="71">
        <v>47088</v>
      </c>
      <c r="B166" s="85" t="s">
        <v>95</v>
      </c>
      <c r="C166" s="73">
        <f>C165*D165</f>
        <v>568580.11466256005</v>
      </c>
      <c r="D166" s="6">
        <f>D139</f>
        <v>4.0000000000000001E-3</v>
      </c>
      <c r="E166" s="77" t="s">
        <v>138</v>
      </c>
    </row>
    <row r="167" spans="1:5" x14ac:dyDescent="0.25">
      <c r="A167" s="71">
        <v>47453</v>
      </c>
      <c r="B167" s="86">
        <v>0.55000000000000004</v>
      </c>
      <c r="C167" s="73">
        <f t="shared" ref="C167:C184" si="7">C166*(1-$D$4)</f>
        <v>566305.79420390981</v>
      </c>
      <c r="D167" s="76"/>
    </row>
    <row r="168" spans="1:5" x14ac:dyDescent="0.25">
      <c r="A168" s="71">
        <v>47818</v>
      </c>
      <c r="B168" s="86"/>
      <c r="C168" s="73">
        <f t="shared" si="7"/>
        <v>564040.57102709415</v>
      </c>
      <c r="D168" s="76"/>
    </row>
    <row r="169" spans="1:5" x14ac:dyDescent="0.25">
      <c r="A169" s="71">
        <v>48183</v>
      </c>
      <c r="B169" s="86"/>
      <c r="C169" s="73">
        <f t="shared" si="7"/>
        <v>561784.4087429858</v>
      </c>
      <c r="D169" s="76"/>
    </row>
    <row r="170" spans="1:5" x14ac:dyDescent="0.25">
      <c r="A170" s="71">
        <v>48549</v>
      </c>
      <c r="B170" s="86"/>
      <c r="C170" s="73">
        <f t="shared" si="7"/>
        <v>559537.27110801381</v>
      </c>
      <c r="D170" s="76"/>
    </row>
    <row r="171" spans="1:5" x14ac:dyDescent="0.25">
      <c r="A171" s="71">
        <v>48914</v>
      </c>
      <c r="B171" s="86"/>
      <c r="C171" s="73">
        <f t="shared" si="7"/>
        <v>557299.12202358176</v>
      </c>
      <c r="D171" s="76"/>
    </row>
    <row r="172" spans="1:5" x14ac:dyDescent="0.25">
      <c r="A172" s="71">
        <v>49279</v>
      </c>
      <c r="B172" s="86"/>
      <c r="C172" s="73">
        <f t="shared" si="7"/>
        <v>555069.92553548748</v>
      </c>
      <c r="D172" s="76"/>
    </row>
    <row r="173" spans="1:5" x14ac:dyDescent="0.25">
      <c r="A173" s="71">
        <v>49644</v>
      </c>
      <c r="B173" s="78"/>
      <c r="C173" s="73">
        <f t="shared" si="7"/>
        <v>552849.64583334548</v>
      </c>
      <c r="D173" s="76"/>
    </row>
    <row r="174" spans="1:5" x14ac:dyDescent="0.25">
      <c r="A174" s="71">
        <v>50010</v>
      </c>
      <c r="B174" s="78"/>
      <c r="C174" s="73">
        <f t="shared" si="7"/>
        <v>550638.24725001212</v>
      </c>
      <c r="D174" s="76"/>
    </row>
    <row r="175" spans="1:5" x14ac:dyDescent="0.25">
      <c r="A175" s="71">
        <v>50375</v>
      </c>
      <c r="B175" s="78"/>
      <c r="C175" s="73">
        <f t="shared" si="7"/>
        <v>548435.69426101202</v>
      </c>
      <c r="D175" s="76"/>
    </row>
    <row r="176" spans="1:5" x14ac:dyDescent="0.25">
      <c r="A176" s="71">
        <v>50740</v>
      </c>
      <c r="B176" s="78"/>
      <c r="C176" s="73">
        <f t="shared" si="7"/>
        <v>546241.95148396795</v>
      </c>
      <c r="D176" s="76"/>
    </row>
    <row r="177" spans="1:5" x14ac:dyDescent="0.25">
      <c r="A177" s="71">
        <v>51105</v>
      </c>
      <c r="B177" s="78"/>
      <c r="C177" s="73">
        <f t="shared" si="7"/>
        <v>544056.98367803206</v>
      </c>
      <c r="D177" s="76"/>
    </row>
    <row r="178" spans="1:5" x14ac:dyDescent="0.25">
      <c r="A178" s="71">
        <v>51471</v>
      </c>
      <c r="B178" s="78"/>
      <c r="C178" s="73">
        <f t="shared" si="7"/>
        <v>541880.75574331998</v>
      </c>
      <c r="D178" s="76"/>
    </row>
    <row r="179" spans="1:5" x14ac:dyDescent="0.25">
      <c r="A179" s="71">
        <v>51836</v>
      </c>
      <c r="B179" s="78"/>
      <c r="C179" s="73">
        <f t="shared" si="7"/>
        <v>539713.23272034666</v>
      </c>
      <c r="D179" s="76"/>
    </row>
    <row r="180" spans="1:5" x14ac:dyDescent="0.25">
      <c r="A180" s="71">
        <v>52201</v>
      </c>
      <c r="B180" s="78"/>
      <c r="C180" s="73">
        <f t="shared" si="7"/>
        <v>537554.37978946522</v>
      </c>
      <c r="D180" s="76"/>
    </row>
    <row r="181" spans="1:5" x14ac:dyDescent="0.25">
      <c r="A181" s="71">
        <v>52566</v>
      </c>
      <c r="B181" s="78"/>
      <c r="C181" s="73">
        <f t="shared" si="7"/>
        <v>535404.16227030731</v>
      </c>
      <c r="D181" s="76"/>
    </row>
    <row r="182" spans="1:5" x14ac:dyDescent="0.25">
      <c r="A182" s="71">
        <v>52932</v>
      </c>
      <c r="B182" s="78"/>
      <c r="C182" s="73">
        <f t="shared" si="7"/>
        <v>533262.54562122608</v>
      </c>
      <c r="D182" s="76"/>
    </row>
    <row r="183" spans="1:5" x14ac:dyDescent="0.25">
      <c r="A183" s="71">
        <v>53297</v>
      </c>
      <c r="B183" s="78"/>
      <c r="C183" s="73">
        <f t="shared" si="7"/>
        <v>531129.49543874117</v>
      </c>
      <c r="D183" s="76"/>
    </row>
    <row r="184" spans="1:5" ht="14.5" thickBot="1" x14ac:dyDescent="0.3">
      <c r="A184" s="71">
        <v>53662</v>
      </c>
      <c r="B184" s="78"/>
      <c r="C184" s="73">
        <f t="shared" si="7"/>
        <v>529004.97745698621</v>
      </c>
      <c r="D184" s="76"/>
    </row>
    <row r="185" spans="1:5" ht="14.5" thickBot="1" x14ac:dyDescent="0.3">
      <c r="A185" s="71">
        <v>53662</v>
      </c>
      <c r="B185" s="79" t="s">
        <v>88</v>
      </c>
      <c r="C185" s="73">
        <f>B186</f>
        <v>1</v>
      </c>
      <c r="D185" s="76"/>
    </row>
    <row r="186" spans="1:5" ht="14.5" thickBot="1" x14ac:dyDescent="0.3">
      <c r="A186" s="71"/>
      <c r="B186" s="80">
        <v>1</v>
      </c>
      <c r="C186" s="73">
        <f>C185-B186</f>
        <v>0</v>
      </c>
      <c r="D186" s="76"/>
    </row>
    <row r="187" spans="1:5" x14ac:dyDescent="0.25">
      <c r="A187" s="77"/>
      <c r="B187" s="81" t="s">
        <v>87</v>
      </c>
      <c r="C187" s="73">
        <f>SUM(C165:C186)</f>
        <v>11002974.069322396</v>
      </c>
      <c r="D187" s="70">
        <f>C187*9</f>
        <v>99026766.623901561</v>
      </c>
    </row>
    <row r="188" spans="1:5" x14ac:dyDescent="0.25">
      <c r="A188" s="77"/>
      <c r="B188" s="81" t="s">
        <v>86</v>
      </c>
      <c r="C188" s="73">
        <f>C187+C164</f>
        <v>6935158.0693223961</v>
      </c>
      <c r="D188" s="82"/>
    </row>
    <row r="190" spans="1:5" ht="31.5" thickBot="1" x14ac:dyDescent="0.3">
      <c r="A190" s="68" t="s">
        <v>94</v>
      </c>
      <c r="B190" s="69" t="s">
        <v>96</v>
      </c>
      <c r="C190" s="68" t="s">
        <v>92</v>
      </c>
      <c r="D190" s="68" t="s">
        <v>91</v>
      </c>
      <c r="E190" s="69" t="s">
        <v>90</v>
      </c>
    </row>
    <row r="191" spans="1:5" ht="14.5" thickBot="1" x14ac:dyDescent="0.3">
      <c r="A191" s="71">
        <v>46357</v>
      </c>
      <c r="B191" s="72">
        <f>B164</f>
        <v>4067816</v>
      </c>
      <c r="C191" s="73">
        <f>-B191</f>
        <v>-4067816</v>
      </c>
      <c r="D191" s="74">
        <f>IRR(C191:C211)</f>
        <v>0.10889065042690049</v>
      </c>
      <c r="E191" s="75">
        <f>B191/C192</f>
        <v>7.7123795484871387</v>
      </c>
    </row>
    <row r="192" spans="1:5" ht="14.5" thickBot="1" x14ac:dyDescent="0.3">
      <c r="A192" s="71">
        <v>46722</v>
      </c>
      <c r="B192" s="72">
        <f>B165</f>
        <v>1054879.61904</v>
      </c>
      <c r="C192" s="73">
        <f>B192*B194</f>
        <v>527439.80952000001</v>
      </c>
      <c r="D192" s="76">
        <f>D165</f>
        <v>0.98</v>
      </c>
      <c r="E192" s="112" t="s">
        <v>150</v>
      </c>
    </row>
    <row r="193" spans="1:5" x14ac:dyDescent="0.25">
      <c r="A193" s="71">
        <v>47088</v>
      </c>
      <c r="B193" s="85" t="s">
        <v>95</v>
      </c>
      <c r="C193" s="73">
        <f>C192*D192</f>
        <v>516891.01332959998</v>
      </c>
      <c r="D193" s="6">
        <f>D166</f>
        <v>4.0000000000000001E-3</v>
      </c>
      <c r="E193" s="77" t="s">
        <v>138</v>
      </c>
    </row>
    <row r="194" spans="1:5" x14ac:dyDescent="0.25">
      <c r="A194" s="71">
        <v>47453</v>
      </c>
      <c r="B194" s="86">
        <v>0.5</v>
      </c>
      <c r="C194" s="73">
        <f t="shared" ref="C194:C211" si="8">C193*(1-$D$4)</f>
        <v>514823.44927628158</v>
      </c>
      <c r="D194" s="76"/>
    </row>
    <row r="195" spans="1:5" x14ac:dyDescent="0.25">
      <c r="A195" s="71">
        <v>47818</v>
      </c>
      <c r="B195" s="86"/>
      <c r="C195" s="73">
        <f t="shared" si="8"/>
        <v>512764.15547917644</v>
      </c>
      <c r="D195" s="76"/>
    </row>
    <row r="196" spans="1:5" x14ac:dyDescent="0.25">
      <c r="A196" s="71">
        <v>48183</v>
      </c>
      <c r="B196" s="86"/>
      <c r="C196" s="73">
        <f t="shared" si="8"/>
        <v>510713.09885725973</v>
      </c>
      <c r="D196" s="76"/>
    </row>
    <row r="197" spans="1:5" x14ac:dyDescent="0.25">
      <c r="A197" s="71">
        <v>48549</v>
      </c>
      <c r="B197" s="86"/>
      <c r="C197" s="73">
        <f t="shared" si="8"/>
        <v>508670.24646183068</v>
      </c>
      <c r="D197" s="76"/>
    </row>
    <row r="198" spans="1:5" x14ac:dyDescent="0.25">
      <c r="A198" s="71">
        <v>48914</v>
      </c>
      <c r="B198" s="86"/>
      <c r="C198" s="73">
        <f t="shared" si="8"/>
        <v>506635.56547598337</v>
      </c>
      <c r="D198" s="76"/>
    </row>
    <row r="199" spans="1:5" x14ac:dyDescent="0.25">
      <c r="A199" s="71">
        <v>49279</v>
      </c>
      <c r="B199" s="86"/>
      <c r="C199" s="73">
        <f t="shared" si="8"/>
        <v>504609.02321407944</v>
      </c>
      <c r="D199" s="76"/>
    </row>
    <row r="200" spans="1:5" x14ac:dyDescent="0.25">
      <c r="A200" s="71">
        <v>49644</v>
      </c>
      <c r="B200" s="78"/>
      <c r="C200" s="73">
        <f t="shared" si="8"/>
        <v>502590.5871212231</v>
      </c>
      <c r="D200" s="76"/>
    </row>
    <row r="201" spans="1:5" x14ac:dyDescent="0.25">
      <c r="A201" s="71">
        <v>50010</v>
      </c>
      <c r="B201" s="78"/>
      <c r="C201" s="73">
        <f t="shared" si="8"/>
        <v>500580.22477273818</v>
      </c>
      <c r="D201" s="76"/>
    </row>
    <row r="202" spans="1:5" x14ac:dyDescent="0.25">
      <c r="A202" s="71">
        <v>50375</v>
      </c>
      <c r="B202" s="78"/>
      <c r="C202" s="73">
        <f t="shared" si="8"/>
        <v>498577.90387364721</v>
      </c>
      <c r="D202" s="76"/>
    </row>
    <row r="203" spans="1:5" x14ac:dyDescent="0.25">
      <c r="A203" s="71">
        <v>50740</v>
      </c>
      <c r="B203" s="78"/>
      <c r="C203" s="73">
        <f t="shared" si="8"/>
        <v>496583.59225815261</v>
      </c>
      <c r="D203" s="76"/>
    </row>
    <row r="204" spans="1:5" x14ac:dyDescent="0.25">
      <c r="A204" s="71">
        <v>51105</v>
      </c>
      <c r="B204" s="78"/>
      <c r="C204" s="73">
        <f t="shared" si="8"/>
        <v>494597.25788912002</v>
      </c>
      <c r="D204" s="76"/>
    </row>
    <row r="205" spans="1:5" x14ac:dyDescent="0.25">
      <c r="A205" s="71">
        <v>51471</v>
      </c>
      <c r="B205" s="78"/>
      <c r="C205" s="73">
        <f t="shared" si="8"/>
        <v>492618.86885756353</v>
      </c>
      <c r="D205" s="76"/>
    </row>
    <row r="206" spans="1:5" x14ac:dyDescent="0.25">
      <c r="A206" s="71">
        <v>51836</v>
      </c>
      <c r="B206" s="78"/>
      <c r="C206" s="73">
        <f t="shared" si="8"/>
        <v>490648.39338213328</v>
      </c>
      <c r="D206" s="76"/>
    </row>
    <row r="207" spans="1:5" x14ac:dyDescent="0.25">
      <c r="A207" s="71">
        <v>52201</v>
      </c>
      <c r="B207" s="78"/>
      <c r="C207" s="73">
        <f t="shared" si="8"/>
        <v>488685.79980860476</v>
      </c>
      <c r="D207" s="76"/>
    </row>
    <row r="208" spans="1:5" x14ac:dyDescent="0.25">
      <c r="A208" s="71">
        <v>52566</v>
      </c>
      <c r="B208" s="78"/>
      <c r="C208" s="73">
        <f t="shared" si="8"/>
        <v>486731.05660937034</v>
      </c>
      <c r="D208" s="76"/>
    </row>
    <row r="209" spans="1:4" x14ac:dyDescent="0.25">
      <c r="A209" s="71">
        <v>52932</v>
      </c>
      <c r="B209" s="78"/>
      <c r="C209" s="73">
        <f t="shared" si="8"/>
        <v>484784.13238293288</v>
      </c>
      <c r="D209" s="76"/>
    </row>
    <row r="210" spans="1:4" x14ac:dyDescent="0.25">
      <c r="A210" s="71">
        <v>53297</v>
      </c>
      <c r="B210" s="78"/>
      <c r="C210" s="73">
        <f t="shared" si="8"/>
        <v>482844.99585340114</v>
      </c>
      <c r="D210" s="76"/>
    </row>
    <row r="211" spans="1:4" ht="14.5" thickBot="1" x14ac:dyDescent="0.3">
      <c r="A211" s="71">
        <v>53662</v>
      </c>
      <c r="B211" s="78"/>
      <c r="C211" s="73">
        <f t="shared" si="8"/>
        <v>480913.61586998752</v>
      </c>
      <c r="D211" s="76"/>
    </row>
    <row r="212" spans="1:4" ht="14.5" thickBot="1" x14ac:dyDescent="0.3">
      <c r="A212" s="71">
        <v>53662</v>
      </c>
      <c r="B212" s="79" t="s">
        <v>88</v>
      </c>
      <c r="C212" s="73">
        <f>B213</f>
        <v>1</v>
      </c>
      <c r="D212" s="76"/>
    </row>
    <row r="213" spans="1:4" ht="14.5" thickBot="1" x14ac:dyDescent="0.3">
      <c r="A213" s="71"/>
      <c r="B213" s="80">
        <v>1</v>
      </c>
      <c r="C213" s="73">
        <f>C212-B213</f>
        <v>0</v>
      </c>
      <c r="D213" s="76"/>
    </row>
    <row r="214" spans="1:4" x14ac:dyDescent="0.25">
      <c r="A214" s="77"/>
      <c r="B214" s="81" t="s">
        <v>87</v>
      </c>
      <c r="C214" s="73">
        <f>SUM(C192:C213)</f>
        <v>10002703.790293086</v>
      </c>
      <c r="D214" s="70">
        <f>C214*9</f>
        <v>90024334.112637773</v>
      </c>
    </row>
    <row r="215" spans="1:4" x14ac:dyDescent="0.25">
      <c r="A215" s="77"/>
      <c r="B215" s="81" t="s">
        <v>86</v>
      </c>
      <c r="C215" s="73">
        <f>C214+C191</f>
        <v>5934887.7902930863</v>
      </c>
      <c r="D215" s="82"/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78A48-0605-4A56-A5BB-19CECEA55BD8}">
  <dimension ref="A1:P101"/>
  <sheetViews>
    <sheetView topLeftCell="C1" workbookViewId="0">
      <selection activeCell="K34" sqref="K34"/>
    </sheetView>
  </sheetViews>
  <sheetFormatPr defaultColWidth="9.453125" defaultRowHeight="14" x14ac:dyDescent="0.25"/>
  <cols>
    <col min="1" max="1" width="16.7265625" style="1" customWidth="1"/>
    <col min="2" max="2" width="37.26953125" style="1" bestFit="1" customWidth="1"/>
    <col min="3" max="3" width="18.453125" style="1" bestFit="1" customWidth="1"/>
    <col min="4" max="4" width="15.36328125" style="1" customWidth="1"/>
    <col min="5" max="5" width="15.1796875" style="1" customWidth="1"/>
    <col min="6" max="6" width="13.453125" style="1" customWidth="1"/>
    <col min="7" max="9" width="9.453125" style="1"/>
    <col min="10" max="10" width="19.36328125" style="1" bestFit="1" customWidth="1"/>
    <col min="11" max="11" width="24" style="1" bestFit="1" customWidth="1"/>
    <col min="12" max="12" width="9.453125" style="1"/>
    <col min="13" max="13" width="2.26953125" style="1" bestFit="1" customWidth="1"/>
    <col min="14" max="14" width="12.1796875" style="1" bestFit="1" customWidth="1"/>
    <col min="15" max="15" width="14.81640625" style="1" bestFit="1" customWidth="1"/>
    <col min="16" max="16384" width="9.453125" style="1"/>
  </cols>
  <sheetData>
    <row r="1" spans="1:16" ht="32.25" customHeight="1" thickBot="1" x14ac:dyDescent="0.3">
      <c r="A1" s="15" t="s">
        <v>94</v>
      </c>
      <c r="B1" s="15" t="s">
        <v>93</v>
      </c>
      <c r="C1" s="15" t="s">
        <v>92</v>
      </c>
      <c r="D1" s="15" t="s">
        <v>91</v>
      </c>
      <c r="E1" s="15" t="s">
        <v>91</v>
      </c>
      <c r="F1" s="14" t="s">
        <v>90</v>
      </c>
      <c r="H1" s="91" t="s">
        <v>147</v>
      </c>
      <c r="I1" s="91" t="s">
        <v>148</v>
      </c>
      <c r="J1" s="90" t="s">
        <v>90</v>
      </c>
      <c r="K1" s="94" t="s">
        <v>87</v>
      </c>
      <c r="N1" s="143" t="s">
        <v>228</v>
      </c>
      <c r="O1" s="143" t="s">
        <v>229</v>
      </c>
    </row>
    <row r="2" spans="1:16" ht="19.5" customHeight="1" thickBot="1" x14ac:dyDescent="0.3">
      <c r="A2" s="8">
        <v>46357</v>
      </c>
      <c r="B2" s="72">
        <f>收益!B57</f>
        <v>3108259</v>
      </c>
      <c r="C2" s="4">
        <f>-B2</f>
        <v>-3108259</v>
      </c>
      <c r="D2" s="13">
        <f>IRR(C2:C12)</f>
        <v>0.30105288558798771</v>
      </c>
      <c r="E2" s="13">
        <f>(1+D2)^4-1</f>
        <v>1.8653640054980234</v>
      </c>
      <c r="F2" s="12">
        <f>B2/B3</f>
        <v>2.946553278589922</v>
      </c>
      <c r="H2" s="91">
        <v>9</v>
      </c>
      <c r="I2" s="92">
        <f>D2</f>
        <v>0.30105288558798771</v>
      </c>
      <c r="J2" s="93">
        <f>F2</f>
        <v>2.946553278589922</v>
      </c>
      <c r="K2" s="95">
        <f>C14</f>
        <v>9210274.8974708691</v>
      </c>
      <c r="M2" s="1">
        <v>0</v>
      </c>
      <c r="N2" s="144">
        <f>B2/1000</f>
        <v>3108.259</v>
      </c>
      <c r="O2" s="1">
        <v>0</v>
      </c>
    </row>
    <row r="3" spans="1:16" ht="19.5" customHeight="1" x14ac:dyDescent="0.25">
      <c r="A3" s="8">
        <v>46722</v>
      </c>
      <c r="B3" s="84">
        <f>收益!B58</f>
        <v>1054879.61904</v>
      </c>
      <c r="C3" s="4">
        <f>B3</f>
        <v>1054879.61904</v>
      </c>
      <c r="D3" s="6">
        <v>0.98</v>
      </c>
      <c r="E3" s="6" t="s">
        <v>151</v>
      </c>
      <c r="H3" s="91">
        <v>8</v>
      </c>
      <c r="I3" s="92">
        <f>D19</f>
        <v>0.2886370650135972</v>
      </c>
      <c r="J3" s="93">
        <f>F19</f>
        <v>2.946553278589922</v>
      </c>
      <c r="K3" s="95">
        <f>C31</f>
        <v>8205093.7232284229</v>
      </c>
      <c r="M3" s="1">
        <v>1</v>
      </c>
      <c r="N3" s="144">
        <f>N2</f>
        <v>3108.259</v>
      </c>
      <c r="O3" s="145">
        <f>O2+P3</f>
        <v>1054.8796190400001</v>
      </c>
      <c r="P3" s="145">
        <f t="shared" ref="P3:P11" si="0">C3/1000</f>
        <v>1054.8796190400001</v>
      </c>
    </row>
    <row r="4" spans="1:16" ht="19.5" customHeight="1" x14ac:dyDescent="0.25">
      <c r="A4" s="8">
        <v>47088</v>
      </c>
      <c r="B4" s="11"/>
      <c r="C4" s="4">
        <f>D3*C3</f>
        <v>1033782.0266592</v>
      </c>
      <c r="D4" s="6">
        <v>4.0000000000000001E-3</v>
      </c>
      <c r="E4" s="2" t="s">
        <v>89</v>
      </c>
      <c r="H4" s="91">
        <v>7</v>
      </c>
      <c r="I4" s="92">
        <f>D36</f>
        <v>0.27026087406399646</v>
      </c>
      <c r="J4" s="93">
        <f>F36</f>
        <v>2.946553278589922</v>
      </c>
      <c r="K4" s="95">
        <f>C48</f>
        <v>7195875.676800264</v>
      </c>
      <c r="M4" s="1">
        <v>2</v>
      </c>
      <c r="N4" s="144">
        <f t="shared" ref="N4:N10" si="1">N3</f>
        <v>3108.259</v>
      </c>
      <c r="O4" s="145">
        <f>O3+P4</f>
        <v>2088.6616456992001</v>
      </c>
      <c r="P4" s="145">
        <f t="shared" si="0"/>
        <v>1033.7820266592</v>
      </c>
    </row>
    <row r="5" spans="1:16" ht="19.5" customHeight="1" x14ac:dyDescent="0.25">
      <c r="A5" s="8">
        <v>47453</v>
      </c>
      <c r="B5" s="11"/>
      <c r="C5" s="4">
        <f t="shared" ref="C5:C11" si="2">C4*(1-$D$4)</f>
        <v>1029646.8985525632</v>
      </c>
      <c r="D5" s="6"/>
      <c r="E5" s="2"/>
      <c r="H5" s="91">
        <v>6</v>
      </c>
      <c r="I5" s="92">
        <f>D53</f>
        <v>0.24234176958368847</v>
      </c>
      <c r="J5" s="93">
        <f>F53</f>
        <v>2.946553278589922</v>
      </c>
      <c r="K5" s="95">
        <f>C65</f>
        <v>6182604.545848297</v>
      </c>
      <c r="M5" s="1">
        <v>3</v>
      </c>
      <c r="N5" s="144">
        <f t="shared" si="1"/>
        <v>3108.259</v>
      </c>
      <c r="O5" s="145">
        <f t="shared" ref="O5:O11" si="3">O4+P5</f>
        <v>3118.3085442517631</v>
      </c>
      <c r="P5" s="145">
        <f t="shared" si="0"/>
        <v>1029.6468985525632</v>
      </c>
    </row>
    <row r="6" spans="1:16" ht="19.5" customHeight="1" x14ac:dyDescent="0.25">
      <c r="A6" s="8">
        <v>47818</v>
      </c>
      <c r="B6" s="11"/>
      <c r="C6" s="4">
        <f t="shared" si="2"/>
        <v>1025528.3109583529</v>
      </c>
      <c r="D6" s="6"/>
      <c r="E6" s="2"/>
      <c r="H6" s="91">
        <v>5</v>
      </c>
      <c r="I6" s="92">
        <f>D70</f>
        <v>0.19847344114678989</v>
      </c>
      <c r="J6" s="93">
        <f>F70</f>
        <v>2.946553278589922</v>
      </c>
      <c r="K6" s="95">
        <f>C82</f>
        <v>5165264.0529246358</v>
      </c>
      <c r="M6" s="1">
        <v>4</v>
      </c>
      <c r="N6" s="144">
        <f t="shared" si="1"/>
        <v>3108.259</v>
      </c>
      <c r="O6" s="145">
        <f t="shared" si="3"/>
        <v>4143.8368552101165</v>
      </c>
      <c r="P6" s="145">
        <f t="shared" si="0"/>
        <v>1025.5283109583529</v>
      </c>
    </row>
    <row r="7" spans="1:16" ht="19.5" customHeight="1" x14ac:dyDescent="0.25">
      <c r="A7" s="8">
        <v>48183</v>
      </c>
      <c r="B7" s="11"/>
      <c r="C7" s="4">
        <f t="shared" si="2"/>
        <v>1021426.1977145195</v>
      </c>
      <c r="D7" s="6"/>
      <c r="E7" s="2"/>
      <c r="H7" s="91">
        <v>4</v>
      </c>
      <c r="I7" s="92">
        <f>D87</f>
        <v>0.12648504387472226</v>
      </c>
      <c r="J7" s="93">
        <f>F87</f>
        <v>2.946553278589922</v>
      </c>
      <c r="K7" s="95">
        <f>C99</f>
        <v>4143837.8552101161</v>
      </c>
      <c r="M7" s="1">
        <v>5</v>
      </c>
      <c r="N7" s="144">
        <f t="shared" si="1"/>
        <v>3108.259</v>
      </c>
      <c r="O7" s="145">
        <f t="shared" si="3"/>
        <v>5165.2630529246362</v>
      </c>
      <c r="P7" s="145">
        <f t="shared" si="0"/>
        <v>1021.4261977145195</v>
      </c>
    </row>
    <row r="8" spans="1:16" ht="19.5" customHeight="1" x14ac:dyDescent="0.25">
      <c r="A8" s="8">
        <v>48549</v>
      </c>
      <c r="B8" s="11"/>
      <c r="C8" s="4">
        <f t="shared" si="2"/>
        <v>1017340.4929236614</v>
      </c>
      <c r="D8" s="6"/>
      <c r="E8" s="2"/>
      <c r="M8" s="1">
        <v>6</v>
      </c>
      <c r="N8" s="144">
        <f t="shared" si="1"/>
        <v>3108.259</v>
      </c>
      <c r="O8" s="145">
        <f t="shared" si="3"/>
        <v>6182.6035458482975</v>
      </c>
      <c r="P8" s="145">
        <f t="shared" si="0"/>
        <v>1017.3404929236614</v>
      </c>
    </row>
    <row r="9" spans="1:16" ht="19.5" customHeight="1" x14ac:dyDescent="0.25">
      <c r="A9" s="8">
        <v>48914</v>
      </c>
      <c r="B9" s="11"/>
      <c r="C9" s="4">
        <f t="shared" si="2"/>
        <v>1013271.1309519667</v>
      </c>
      <c r="D9" s="6"/>
      <c r="E9" s="2"/>
      <c r="M9" s="1">
        <v>7</v>
      </c>
      <c r="N9" s="144">
        <f t="shared" si="1"/>
        <v>3108.259</v>
      </c>
      <c r="O9" s="145">
        <f t="shared" si="3"/>
        <v>7195.8746768002638</v>
      </c>
      <c r="P9" s="145">
        <f t="shared" si="0"/>
        <v>1013.2711309519667</v>
      </c>
    </row>
    <row r="10" spans="1:16" ht="19.5" customHeight="1" x14ac:dyDescent="0.25">
      <c r="A10" s="8">
        <v>48915</v>
      </c>
      <c r="B10" s="10"/>
      <c r="C10" s="4">
        <f t="shared" si="2"/>
        <v>1009218.0464281589</v>
      </c>
      <c r="D10" s="6"/>
      <c r="E10" s="2"/>
      <c r="M10" s="1">
        <v>8</v>
      </c>
      <c r="N10" s="144">
        <f t="shared" si="1"/>
        <v>3108.259</v>
      </c>
      <c r="O10" s="145">
        <f t="shared" si="3"/>
        <v>8205.092723228423</v>
      </c>
      <c r="P10" s="145">
        <f t="shared" si="0"/>
        <v>1009.2180464281589</v>
      </c>
    </row>
    <row r="11" spans="1:16" ht="19.5" customHeight="1" thickBot="1" x14ac:dyDescent="0.3">
      <c r="A11" s="8">
        <v>48916</v>
      </c>
      <c r="B11" s="10"/>
      <c r="C11" s="4">
        <f t="shared" si="2"/>
        <v>1005181.1742424462</v>
      </c>
      <c r="D11" s="6"/>
      <c r="E11" s="2"/>
      <c r="O11" s="145">
        <f t="shared" si="3"/>
        <v>9210.27389747087</v>
      </c>
      <c r="P11" s="145">
        <f t="shared" si="0"/>
        <v>1005.1811742424462</v>
      </c>
    </row>
    <row r="12" spans="1:16" ht="19.5" customHeight="1" thickBot="1" x14ac:dyDescent="0.3">
      <c r="A12" s="8">
        <v>48917</v>
      </c>
      <c r="B12" s="9" t="s">
        <v>88</v>
      </c>
      <c r="C12" s="4">
        <f>B13</f>
        <v>1</v>
      </c>
      <c r="D12" s="6"/>
      <c r="E12" s="2"/>
    </row>
    <row r="13" spans="1:16" ht="19.5" customHeight="1" thickBot="1" x14ac:dyDescent="0.3">
      <c r="A13" s="8">
        <v>48914</v>
      </c>
      <c r="B13" s="7">
        <v>1</v>
      </c>
      <c r="C13" s="4">
        <f>C12-B13</f>
        <v>0</v>
      </c>
      <c r="D13" s="6"/>
      <c r="E13" s="2"/>
    </row>
    <row r="14" spans="1:16" ht="15" x14ac:dyDescent="0.25">
      <c r="A14" s="2"/>
      <c r="B14" s="5" t="s">
        <v>87</v>
      </c>
      <c r="C14" s="4">
        <f>SUM(C3:C13)</f>
        <v>9210274.8974708691</v>
      </c>
      <c r="E14" s="2"/>
    </row>
    <row r="15" spans="1:16" ht="15" x14ac:dyDescent="0.25">
      <c r="A15" s="2"/>
      <c r="B15" s="5" t="s">
        <v>86</v>
      </c>
      <c r="C15" s="4">
        <f>C14+C2</f>
        <v>6102015.8974708691</v>
      </c>
      <c r="D15" s="3"/>
      <c r="E15" s="2"/>
    </row>
    <row r="16" spans="1:16" x14ac:dyDescent="0.25">
      <c r="C16" s="16">
        <f>C14*9</f>
        <v>82892474.077237815</v>
      </c>
    </row>
    <row r="18" spans="1:6" ht="33.5" thickBot="1" x14ac:dyDescent="0.3">
      <c r="A18" s="15" t="s">
        <v>94</v>
      </c>
      <c r="B18" s="15" t="s">
        <v>93</v>
      </c>
      <c r="C18" s="15" t="s">
        <v>92</v>
      </c>
      <c r="D18" s="15" t="s">
        <v>91</v>
      </c>
      <c r="E18" s="15" t="s">
        <v>91</v>
      </c>
      <c r="F18" s="14" t="s">
        <v>90</v>
      </c>
    </row>
    <row r="19" spans="1:6" ht="17" thickBot="1" x14ac:dyDescent="0.3">
      <c r="A19" s="8">
        <v>46357</v>
      </c>
      <c r="B19" s="72">
        <f>B2</f>
        <v>3108259</v>
      </c>
      <c r="C19" s="4">
        <f>-B19</f>
        <v>-3108259</v>
      </c>
      <c r="D19" s="13">
        <f>IRR(C19:C28)</f>
        <v>0.2886370650135972</v>
      </c>
      <c r="E19" s="13">
        <f>(1+D19)^4-1</f>
        <v>1.7575441540782366</v>
      </c>
      <c r="F19" s="12">
        <f>B19/B20</f>
        <v>2.946553278589922</v>
      </c>
    </row>
    <row r="20" spans="1:6" ht="15" x14ac:dyDescent="0.25">
      <c r="A20" s="8">
        <v>46722</v>
      </c>
      <c r="B20" s="72">
        <f>B3</f>
        <v>1054879.61904</v>
      </c>
      <c r="C20" s="4">
        <f>B20</f>
        <v>1054879.61904</v>
      </c>
      <c r="D20" s="6">
        <f>D3</f>
        <v>0.98</v>
      </c>
      <c r="E20" s="2" t="str">
        <f>E3</f>
        <v>首年衰减</v>
      </c>
    </row>
    <row r="21" spans="1:6" ht="15" x14ac:dyDescent="0.25">
      <c r="A21" s="8">
        <v>47088</v>
      </c>
      <c r="B21" s="11"/>
      <c r="C21" s="4">
        <f>D20*C20</f>
        <v>1033782.0266592</v>
      </c>
      <c r="D21" s="6">
        <f>D4</f>
        <v>4.0000000000000001E-3</v>
      </c>
      <c r="E21" s="2" t="str">
        <f>E4</f>
        <v>组件年衰减率</v>
      </c>
    </row>
    <row r="22" spans="1:6" ht="15" x14ac:dyDescent="0.25">
      <c r="A22" s="8">
        <v>47453</v>
      </c>
      <c r="B22" s="11"/>
      <c r="C22" s="4">
        <f t="shared" ref="C22:C27" si="4">C21*(1-$D$4)</f>
        <v>1029646.8985525632</v>
      </c>
    </row>
    <row r="23" spans="1:6" ht="15" x14ac:dyDescent="0.25">
      <c r="A23" s="8">
        <v>47818</v>
      </c>
      <c r="B23" s="11"/>
      <c r="C23" s="4">
        <f t="shared" si="4"/>
        <v>1025528.3109583529</v>
      </c>
    </row>
    <row r="24" spans="1:6" ht="15" x14ac:dyDescent="0.25">
      <c r="A24" s="8">
        <v>48183</v>
      </c>
      <c r="B24" s="11"/>
      <c r="C24" s="4">
        <f t="shared" si="4"/>
        <v>1021426.1977145195</v>
      </c>
    </row>
    <row r="25" spans="1:6" ht="15" x14ac:dyDescent="0.25">
      <c r="A25" s="8">
        <v>48549</v>
      </c>
      <c r="B25" s="11"/>
      <c r="C25" s="4">
        <f t="shared" si="4"/>
        <v>1017340.4929236614</v>
      </c>
    </row>
    <row r="26" spans="1:6" ht="15" x14ac:dyDescent="0.25">
      <c r="A26" s="8">
        <v>48914</v>
      </c>
      <c r="B26" s="11"/>
      <c r="C26" s="4">
        <f t="shared" si="4"/>
        <v>1013271.1309519667</v>
      </c>
    </row>
    <row r="27" spans="1:6" ht="15" x14ac:dyDescent="0.25">
      <c r="A27" s="8">
        <v>48915</v>
      </c>
      <c r="B27" s="10"/>
      <c r="C27" s="4">
        <f t="shared" si="4"/>
        <v>1009218.0464281589</v>
      </c>
    </row>
    <row r="28" spans="1:6" ht="15.5" thickBot="1" x14ac:dyDescent="0.3">
      <c r="A28" s="8">
        <v>48916</v>
      </c>
      <c r="B28" s="10"/>
      <c r="C28" s="4">
        <v>1</v>
      </c>
    </row>
    <row r="29" spans="1:6" ht="15.5" thickBot="1" x14ac:dyDescent="0.3">
      <c r="A29" s="8">
        <v>48917</v>
      </c>
      <c r="B29" s="9" t="s">
        <v>88</v>
      </c>
      <c r="C29" s="4">
        <v>0</v>
      </c>
    </row>
    <row r="30" spans="1:6" ht="15.5" thickBot="1" x14ac:dyDescent="0.3">
      <c r="A30" s="8">
        <v>48914</v>
      </c>
      <c r="B30" s="7">
        <v>1</v>
      </c>
      <c r="C30" s="4">
        <v>0</v>
      </c>
    </row>
    <row r="31" spans="1:6" ht="15" x14ac:dyDescent="0.25">
      <c r="A31" s="2"/>
      <c r="B31" s="5" t="s">
        <v>87</v>
      </c>
      <c r="C31" s="4">
        <f>SUM(C20:C30)</f>
        <v>8205093.7232284229</v>
      </c>
    </row>
    <row r="32" spans="1:6" ht="15" x14ac:dyDescent="0.25">
      <c r="A32" s="2"/>
      <c r="B32" s="5" t="s">
        <v>86</v>
      </c>
      <c r="C32" s="4">
        <f>C31+C19</f>
        <v>5096834.7232284229</v>
      </c>
    </row>
    <row r="33" spans="1:6" x14ac:dyDescent="0.25">
      <c r="C33" s="16">
        <f>C31*9</f>
        <v>73845843.509055808</v>
      </c>
    </row>
    <row r="35" spans="1:6" ht="33.5" thickBot="1" x14ac:dyDescent="0.3">
      <c r="A35" s="15" t="s">
        <v>94</v>
      </c>
      <c r="B35" s="15" t="s">
        <v>93</v>
      </c>
      <c r="C35" s="15" t="s">
        <v>92</v>
      </c>
      <c r="D35" s="15" t="s">
        <v>91</v>
      </c>
      <c r="E35" s="15" t="s">
        <v>91</v>
      </c>
      <c r="F35" s="14" t="s">
        <v>90</v>
      </c>
    </row>
    <row r="36" spans="1:6" ht="17" thickBot="1" x14ac:dyDescent="0.3">
      <c r="A36" s="8">
        <v>46357</v>
      </c>
      <c r="B36" s="72">
        <f>B19</f>
        <v>3108259</v>
      </c>
      <c r="C36" s="4">
        <f>-B36</f>
        <v>-3108259</v>
      </c>
      <c r="D36" s="13">
        <f>IRR(C36:C44)</f>
        <v>0.27026087406399646</v>
      </c>
      <c r="E36" s="13">
        <f>(1+D36)^4-1</f>
        <v>1.6035845486796592</v>
      </c>
      <c r="F36" s="12">
        <f>B36/B37</f>
        <v>2.946553278589922</v>
      </c>
    </row>
    <row r="37" spans="1:6" ht="15" x14ac:dyDescent="0.25">
      <c r="A37" s="8">
        <v>46722</v>
      </c>
      <c r="B37" s="72">
        <f>B20</f>
        <v>1054879.61904</v>
      </c>
      <c r="C37" s="4">
        <f>B37</f>
        <v>1054879.61904</v>
      </c>
      <c r="D37" s="6">
        <f>D20</f>
        <v>0.98</v>
      </c>
      <c r="E37" s="2" t="str">
        <f>E20</f>
        <v>首年衰减</v>
      </c>
    </row>
    <row r="38" spans="1:6" ht="15" x14ac:dyDescent="0.25">
      <c r="A38" s="8">
        <v>47088</v>
      </c>
      <c r="B38" s="11"/>
      <c r="C38" s="4">
        <f>D37*C37</f>
        <v>1033782.0266592</v>
      </c>
      <c r="D38" s="6">
        <f>D21</f>
        <v>4.0000000000000001E-3</v>
      </c>
      <c r="E38" s="2" t="str">
        <f>E21</f>
        <v>组件年衰减率</v>
      </c>
    </row>
    <row r="39" spans="1:6" ht="15" x14ac:dyDescent="0.25">
      <c r="A39" s="8">
        <v>47453</v>
      </c>
      <c r="B39" s="11"/>
      <c r="C39" s="4">
        <f t="shared" ref="C39:C43" si="5">C38*(1-$D$4)</f>
        <v>1029646.8985525632</v>
      </c>
    </row>
    <row r="40" spans="1:6" ht="15" x14ac:dyDescent="0.25">
      <c r="A40" s="8">
        <v>47818</v>
      </c>
      <c r="B40" s="11"/>
      <c r="C40" s="4">
        <f t="shared" si="5"/>
        <v>1025528.3109583529</v>
      </c>
    </row>
    <row r="41" spans="1:6" ht="15" x14ac:dyDescent="0.25">
      <c r="A41" s="8">
        <v>48183</v>
      </c>
      <c r="B41" s="11"/>
      <c r="C41" s="4">
        <f t="shared" si="5"/>
        <v>1021426.1977145195</v>
      </c>
    </row>
    <row r="42" spans="1:6" ht="15" x14ac:dyDescent="0.25">
      <c r="A42" s="8">
        <v>48549</v>
      </c>
      <c r="B42" s="11"/>
      <c r="C42" s="4">
        <f t="shared" si="5"/>
        <v>1017340.4929236614</v>
      </c>
    </row>
    <row r="43" spans="1:6" ht="15" x14ac:dyDescent="0.25">
      <c r="A43" s="8">
        <v>48914</v>
      </c>
      <c r="B43" s="11"/>
      <c r="C43" s="4">
        <f t="shared" si="5"/>
        <v>1013271.1309519667</v>
      </c>
    </row>
    <row r="44" spans="1:6" ht="15" x14ac:dyDescent="0.25">
      <c r="A44" s="8">
        <v>48915</v>
      </c>
      <c r="B44" s="10"/>
      <c r="C44" s="4">
        <v>1</v>
      </c>
    </row>
    <row r="45" spans="1:6" ht="15.5" thickBot="1" x14ac:dyDescent="0.3">
      <c r="A45" s="8">
        <v>48916</v>
      </c>
      <c r="B45" s="10"/>
      <c r="C45" s="4">
        <v>0</v>
      </c>
    </row>
    <row r="46" spans="1:6" ht="15.5" thickBot="1" x14ac:dyDescent="0.3">
      <c r="A46" s="8">
        <v>48917</v>
      </c>
      <c r="B46" s="9" t="s">
        <v>88</v>
      </c>
      <c r="C46" s="4">
        <v>0</v>
      </c>
    </row>
    <row r="47" spans="1:6" ht="15.5" thickBot="1" x14ac:dyDescent="0.3">
      <c r="A47" s="8">
        <v>48914</v>
      </c>
      <c r="B47" s="7">
        <v>1</v>
      </c>
      <c r="C47" s="4">
        <v>0</v>
      </c>
    </row>
    <row r="48" spans="1:6" ht="15" x14ac:dyDescent="0.25">
      <c r="A48" s="2"/>
      <c r="B48" s="5" t="s">
        <v>87</v>
      </c>
      <c r="C48" s="4">
        <f>SUM(C37:C47)</f>
        <v>7195875.676800264</v>
      </c>
    </row>
    <row r="49" spans="1:6" ht="15" x14ac:dyDescent="0.25">
      <c r="A49" s="2"/>
      <c r="B49" s="5" t="s">
        <v>86</v>
      </c>
      <c r="C49" s="4">
        <f>C48+C36</f>
        <v>4087616.676800264</v>
      </c>
    </row>
    <row r="50" spans="1:6" x14ac:dyDescent="0.25">
      <c r="C50" s="16">
        <f>C48*9</f>
        <v>64762881.091202378</v>
      </c>
    </row>
    <row r="52" spans="1:6" ht="33.5" thickBot="1" x14ac:dyDescent="0.3">
      <c r="A52" s="15" t="s">
        <v>94</v>
      </c>
      <c r="B52" s="15" t="s">
        <v>93</v>
      </c>
      <c r="C52" s="15" t="s">
        <v>92</v>
      </c>
      <c r="D52" s="15" t="s">
        <v>91</v>
      </c>
      <c r="E52" s="15" t="s">
        <v>91</v>
      </c>
      <c r="F52" s="14" t="s">
        <v>90</v>
      </c>
    </row>
    <row r="53" spans="1:6" ht="17" thickBot="1" x14ac:dyDescent="0.3">
      <c r="A53" s="8">
        <v>46357</v>
      </c>
      <c r="B53" s="72">
        <f>B36</f>
        <v>3108259</v>
      </c>
      <c r="C53" s="4">
        <f>-B53</f>
        <v>-3108259</v>
      </c>
      <c r="D53" s="13">
        <f>IRR(C53:C60)</f>
        <v>0.24234176958368847</v>
      </c>
      <c r="E53" s="13">
        <f>(1+D53)^4-1</f>
        <v>1.382123912216743</v>
      </c>
      <c r="F53" s="12">
        <f>B53/B54</f>
        <v>2.946553278589922</v>
      </c>
    </row>
    <row r="54" spans="1:6" ht="15" x14ac:dyDescent="0.25">
      <c r="A54" s="8">
        <v>46722</v>
      </c>
      <c r="B54" s="72">
        <f>B37</f>
        <v>1054879.61904</v>
      </c>
      <c r="C54" s="4">
        <f>B54</f>
        <v>1054879.61904</v>
      </c>
      <c r="D54" s="6">
        <f>D37</f>
        <v>0.98</v>
      </c>
      <c r="E54" s="2" t="str">
        <f>E37</f>
        <v>首年衰减</v>
      </c>
    </row>
    <row r="55" spans="1:6" ht="15" x14ac:dyDescent="0.25">
      <c r="A55" s="8">
        <v>47088</v>
      </c>
      <c r="B55" s="11"/>
      <c r="C55" s="4">
        <f>D54*C54</f>
        <v>1033782.0266592</v>
      </c>
      <c r="D55" s="6">
        <f>D38</f>
        <v>4.0000000000000001E-3</v>
      </c>
      <c r="E55" s="2" t="str">
        <f>E38</f>
        <v>组件年衰减率</v>
      </c>
    </row>
    <row r="56" spans="1:6" ht="15" x14ac:dyDescent="0.25">
      <c r="A56" s="8">
        <v>47453</v>
      </c>
      <c r="B56" s="11"/>
      <c r="C56" s="4">
        <f t="shared" ref="C56:C59" si="6">C55*(1-$D$4)</f>
        <v>1029646.8985525632</v>
      </c>
    </row>
    <row r="57" spans="1:6" ht="15" x14ac:dyDescent="0.25">
      <c r="A57" s="8">
        <v>47818</v>
      </c>
      <c r="B57" s="11"/>
      <c r="C57" s="4">
        <f t="shared" si="6"/>
        <v>1025528.3109583529</v>
      </c>
    </row>
    <row r="58" spans="1:6" ht="15" x14ac:dyDescent="0.25">
      <c r="A58" s="8">
        <v>48183</v>
      </c>
      <c r="B58" s="11"/>
      <c r="C58" s="4">
        <f t="shared" si="6"/>
        <v>1021426.1977145195</v>
      </c>
    </row>
    <row r="59" spans="1:6" ht="15" x14ac:dyDescent="0.25">
      <c r="A59" s="8">
        <v>48549</v>
      </c>
      <c r="B59" s="11"/>
      <c r="C59" s="4">
        <f t="shared" si="6"/>
        <v>1017340.4929236614</v>
      </c>
    </row>
    <row r="60" spans="1:6" ht="15" x14ac:dyDescent="0.25">
      <c r="A60" s="8">
        <v>48914</v>
      </c>
      <c r="B60" s="11"/>
      <c r="C60" s="4">
        <v>1</v>
      </c>
    </row>
    <row r="61" spans="1:6" ht="15" x14ac:dyDescent="0.25">
      <c r="A61" s="8">
        <v>48915</v>
      </c>
      <c r="B61" s="10"/>
      <c r="C61" s="4">
        <v>0</v>
      </c>
    </row>
    <row r="62" spans="1:6" ht="15.5" thickBot="1" x14ac:dyDescent="0.3">
      <c r="A62" s="8">
        <v>48916</v>
      </c>
      <c r="B62" s="10"/>
      <c r="C62" s="4">
        <v>0</v>
      </c>
    </row>
    <row r="63" spans="1:6" ht="15.5" thickBot="1" x14ac:dyDescent="0.3">
      <c r="A63" s="8">
        <v>48917</v>
      </c>
      <c r="B63" s="9" t="s">
        <v>88</v>
      </c>
      <c r="C63" s="4">
        <v>0</v>
      </c>
    </row>
    <row r="64" spans="1:6" ht="15.5" thickBot="1" x14ac:dyDescent="0.3">
      <c r="A64" s="8">
        <v>48914</v>
      </c>
      <c r="B64" s="7">
        <v>1</v>
      </c>
      <c r="C64" s="4">
        <v>0</v>
      </c>
    </row>
    <row r="65" spans="1:6" ht="15" x14ac:dyDescent="0.25">
      <c r="A65" s="2"/>
      <c r="B65" s="5" t="s">
        <v>87</v>
      </c>
      <c r="C65" s="4">
        <f>SUM(C54:C64)</f>
        <v>6182604.545848297</v>
      </c>
    </row>
    <row r="66" spans="1:6" ht="15" x14ac:dyDescent="0.25">
      <c r="A66" s="2"/>
      <c r="B66" s="5" t="s">
        <v>86</v>
      </c>
      <c r="C66" s="4">
        <f>C65+C53</f>
        <v>3074345.545848297</v>
      </c>
    </row>
    <row r="67" spans="1:6" x14ac:dyDescent="0.25">
      <c r="C67" s="16">
        <f>C65*9</f>
        <v>55643440.912634671</v>
      </c>
    </row>
    <row r="69" spans="1:6" ht="33.5" thickBot="1" x14ac:dyDescent="0.3">
      <c r="A69" s="15" t="s">
        <v>94</v>
      </c>
      <c r="B69" s="15" t="s">
        <v>93</v>
      </c>
      <c r="C69" s="15" t="s">
        <v>92</v>
      </c>
      <c r="D69" s="15" t="s">
        <v>91</v>
      </c>
      <c r="E69" s="15" t="s">
        <v>91</v>
      </c>
      <c r="F69" s="14" t="s">
        <v>90</v>
      </c>
    </row>
    <row r="70" spans="1:6" ht="17" thickBot="1" x14ac:dyDescent="0.3">
      <c r="A70" s="8">
        <v>46357</v>
      </c>
      <c r="B70" s="72">
        <f>B53</f>
        <v>3108259</v>
      </c>
      <c r="C70" s="4">
        <f>-B70</f>
        <v>-3108259</v>
      </c>
      <c r="D70" s="13">
        <f>IRR(C70:C76)</f>
        <v>0.19847344114678989</v>
      </c>
      <c r="E70" s="13">
        <f>(1+D70)^4-1</f>
        <v>1.0630685426361044</v>
      </c>
      <c r="F70" s="12">
        <f>B70/B71</f>
        <v>2.946553278589922</v>
      </c>
    </row>
    <row r="71" spans="1:6" ht="15" x14ac:dyDescent="0.25">
      <c r="A71" s="8">
        <v>46722</v>
      </c>
      <c r="B71" s="72">
        <f>B54</f>
        <v>1054879.61904</v>
      </c>
      <c r="C71" s="4">
        <f>B71</f>
        <v>1054879.61904</v>
      </c>
      <c r="D71" s="6">
        <f>D54</f>
        <v>0.98</v>
      </c>
      <c r="E71" s="2" t="str">
        <f>E54</f>
        <v>首年衰减</v>
      </c>
    </row>
    <row r="72" spans="1:6" ht="15" x14ac:dyDescent="0.25">
      <c r="A72" s="8">
        <v>47088</v>
      </c>
      <c r="B72" s="11"/>
      <c r="C72" s="4">
        <f>D71*C71</f>
        <v>1033782.0266592</v>
      </c>
      <c r="D72" s="6">
        <f>D55</f>
        <v>4.0000000000000001E-3</v>
      </c>
      <c r="E72" s="2" t="str">
        <f>E55</f>
        <v>组件年衰减率</v>
      </c>
    </row>
    <row r="73" spans="1:6" ht="15" x14ac:dyDescent="0.25">
      <c r="A73" s="8">
        <v>47453</v>
      </c>
      <c r="B73" s="11"/>
      <c r="C73" s="4">
        <f t="shared" ref="C73:C75" si="7">C72*(1-$D$4)</f>
        <v>1029646.8985525632</v>
      </c>
    </row>
    <row r="74" spans="1:6" ht="15" x14ac:dyDescent="0.25">
      <c r="A74" s="8">
        <v>47818</v>
      </c>
      <c r="B74" s="11"/>
      <c r="C74" s="4">
        <f t="shared" si="7"/>
        <v>1025528.3109583529</v>
      </c>
    </row>
    <row r="75" spans="1:6" ht="15" x14ac:dyDescent="0.25">
      <c r="A75" s="8">
        <v>48183</v>
      </c>
      <c r="B75" s="11"/>
      <c r="C75" s="4">
        <f t="shared" si="7"/>
        <v>1021426.1977145195</v>
      </c>
    </row>
    <row r="76" spans="1:6" ht="15" x14ac:dyDescent="0.25">
      <c r="A76" s="8">
        <v>48549</v>
      </c>
      <c r="B76" s="11"/>
      <c r="C76" s="4">
        <v>1</v>
      </c>
    </row>
    <row r="77" spans="1:6" ht="15" x14ac:dyDescent="0.25">
      <c r="A77" s="8">
        <v>48914</v>
      </c>
      <c r="B77" s="11"/>
      <c r="C77" s="4">
        <v>0</v>
      </c>
    </row>
    <row r="78" spans="1:6" ht="15" x14ac:dyDescent="0.25">
      <c r="A78" s="8">
        <v>48915</v>
      </c>
      <c r="B78" s="10"/>
      <c r="C78" s="4">
        <f t="shared" ref="C78:C79" si="8">C77*(1-$D$4)</f>
        <v>0</v>
      </c>
    </row>
    <row r="79" spans="1:6" ht="15.5" thickBot="1" x14ac:dyDescent="0.3">
      <c r="A79" s="8">
        <v>48916</v>
      </c>
      <c r="B79" s="10"/>
      <c r="C79" s="4">
        <f t="shared" si="8"/>
        <v>0</v>
      </c>
    </row>
    <row r="80" spans="1:6" ht="15.5" thickBot="1" x14ac:dyDescent="0.3">
      <c r="A80" s="8">
        <v>48917</v>
      </c>
      <c r="B80" s="9" t="s">
        <v>88</v>
      </c>
      <c r="C80" s="4">
        <v>0</v>
      </c>
    </row>
    <row r="81" spans="1:6" ht="15.5" thickBot="1" x14ac:dyDescent="0.3">
      <c r="A81" s="8">
        <v>48914</v>
      </c>
      <c r="B81" s="7">
        <v>1</v>
      </c>
      <c r="C81" s="4">
        <v>0</v>
      </c>
    </row>
    <row r="82" spans="1:6" ht="15" x14ac:dyDescent="0.25">
      <c r="A82" s="2"/>
      <c r="B82" s="5" t="s">
        <v>87</v>
      </c>
      <c r="C82" s="4">
        <f>SUM(C71:C81)</f>
        <v>5165264.0529246358</v>
      </c>
    </row>
    <row r="83" spans="1:6" ht="15" x14ac:dyDescent="0.25">
      <c r="A83" s="2"/>
      <c r="B83" s="5" t="s">
        <v>86</v>
      </c>
      <c r="C83" s="4">
        <f>C82+C70</f>
        <v>2057005.0529246358</v>
      </c>
    </row>
    <row r="84" spans="1:6" x14ac:dyDescent="0.25">
      <c r="C84" s="16">
        <f>C82*9</f>
        <v>46487376.47632172</v>
      </c>
    </row>
    <row r="86" spans="1:6" ht="33.5" thickBot="1" x14ac:dyDescent="0.3">
      <c r="A86" s="15" t="s">
        <v>94</v>
      </c>
      <c r="B86" s="15" t="s">
        <v>93</v>
      </c>
      <c r="C86" s="15" t="s">
        <v>92</v>
      </c>
      <c r="D86" s="15" t="s">
        <v>91</v>
      </c>
      <c r="E86" s="15" t="s">
        <v>91</v>
      </c>
      <c r="F86" s="14" t="s">
        <v>90</v>
      </c>
    </row>
    <row r="87" spans="1:6" ht="17" thickBot="1" x14ac:dyDescent="0.3">
      <c r="A87" s="8">
        <v>46357</v>
      </c>
      <c r="B87" s="72">
        <f>B70</f>
        <v>3108259</v>
      </c>
      <c r="C87" s="4">
        <f>-B87</f>
        <v>-3108259</v>
      </c>
      <c r="D87" s="13">
        <f>IRR(C87:C92)</f>
        <v>0.12648504387472226</v>
      </c>
      <c r="E87" s="13">
        <f>(1+D87)^4-1</f>
        <v>0.61028119122722435</v>
      </c>
      <c r="F87" s="12">
        <f>B87/B88</f>
        <v>2.946553278589922</v>
      </c>
    </row>
    <row r="88" spans="1:6" ht="15" x14ac:dyDescent="0.25">
      <c r="A88" s="8">
        <v>46722</v>
      </c>
      <c r="B88" s="72">
        <f>B71</f>
        <v>1054879.61904</v>
      </c>
      <c r="C88" s="4">
        <f>B88</f>
        <v>1054879.61904</v>
      </c>
      <c r="D88" s="6">
        <f>D71</f>
        <v>0.98</v>
      </c>
      <c r="E88" s="2" t="str">
        <f>E71</f>
        <v>首年衰减</v>
      </c>
    </row>
    <row r="89" spans="1:6" ht="15" x14ac:dyDescent="0.25">
      <c r="A89" s="8">
        <v>47088</v>
      </c>
      <c r="B89" s="11"/>
      <c r="C89" s="4">
        <f>D88*C88</f>
        <v>1033782.0266592</v>
      </c>
      <c r="D89" s="6">
        <f>D72</f>
        <v>4.0000000000000001E-3</v>
      </c>
      <c r="E89" s="2" t="str">
        <f>E72</f>
        <v>组件年衰减率</v>
      </c>
    </row>
    <row r="90" spans="1:6" ht="15" x14ac:dyDescent="0.25">
      <c r="A90" s="8">
        <v>47453</v>
      </c>
      <c r="B90" s="11"/>
      <c r="C90" s="4">
        <f t="shared" ref="C90:C91" si="9">C89*(1-$D$4)</f>
        <v>1029646.8985525632</v>
      </c>
    </row>
    <row r="91" spans="1:6" ht="15" x14ac:dyDescent="0.25">
      <c r="A91" s="8">
        <v>47818</v>
      </c>
      <c r="B91" s="11"/>
      <c r="C91" s="4">
        <f t="shared" si="9"/>
        <v>1025528.3109583529</v>
      </c>
    </row>
    <row r="92" spans="1:6" ht="15" x14ac:dyDescent="0.25">
      <c r="A92" s="8">
        <v>48183</v>
      </c>
      <c r="B92" s="11"/>
      <c r="C92" s="4">
        <v>1</v>
      </c>
    </row>
    <row r="93" spans="1:6" ht="15" x14ac:dyDescent="0.25">
      <c r="A93" s="8">
        <v>48549</v>
      </c>
      <c r="B93" s="11"/>
      <c r="C93" s="4">
        <v>0</v>
      </c>
    </row>
    <row r="94" spans="1:6" ht="15" x14ac:dyDescent="0.25">
      <c r="A94" s="8">
        <v>48914</v>
      </c>
      <c r="B94" s="11"/>
      <c r="C94" s="4">
        <v>0</v>
      </c>
    </row>
    <row r="95" spans="1:6" ht="15" x14ac:dyDescent="0.25">
      <c r="A95" s="8">
        <v>48915</v>
      </c>
      <c r="B95" s="10"/>
      <c r="C95" s="4">
        <v>0</v>
      </c>
    </row>
    <row r="96" spans="1:6" ht="15.5" thickBot="1" x14ac:dyDescent="0.3">
      <c r="A96" s="8">
        <v>48916</v>
      </c>
      <c r="B96" s="10"/>
      <c r="C96" s="4">
        <v>0</v>
      </c>
    </row>
    <row r="97" spans="1:3" ht="15.5" thickBot="1" x14ac:dyDescent="0.3">
      <c r="A97" s="8">
        <v>48917</v>
      </c>
      <c r="B97" s="9" t="s">
        <v>88</v>
      </c>
      <c r="C97" s="4">
        <v>0</v>
      </c>
    </row>
    <row r="98" spans="1:3" ht="15.5" thickBot="1" x14ac:dyDescent="0.3">
      <c r="A98" s="8">
        <v>48914</v>
      </c>
      <c r="B98" s="7">
        <v>1</v>
      </c>
      <c r="C98" s="4">
        <v>0</v>
      </c>
    </row>
    <row r="99" spans="1:3" ht="15" x14ac:dyDescent="0.25">
      <c r="A99" s="2"/>
      <c r="B99" s="5" t="s">
        <v>87</v>
      </c>
      <c r="C99" s="4">
        <f>SUM(C88:C98)</f>
        <v>4143837.8552101161</v>
      </c>
    </row>
    <row r="100" spans="1:3" ht="15" x14ac:dyDescent="0.25">
      <c r="A100" s="2"/>
      <c r="B100" s="5" t="s">
        <v>86</v>
      </c>
      <c r="C100" s="4">
        <f>C99+C87</f>
        <v>1035578.8552101161</v>
      </c>
    </row>
    <row r="101" spans="1:3" x14ac:dyDescent="0.25">
      <c r="C101" s="16">
        <f>C99*9</f>
        <v>37294540.696891047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E467F-95EE-460E-BCA7-F3096D91258C}">
  <dimension ref="A1:K39"/>
  <sheetViews>
    <sheetView workbookViewId="0">
      <selection activeCell="D13" sqref="D13:D22"/>
    </sheetView>
  </sheetViews>
  <sheetFormatPr defaultRowHeight="14" x14ac:dyDescent="0.25"/>
  <cols>
    <col min="1" max="1" width="3.453125" bestFit="1" customWidth="1"/>
    <col min="2" max="2" width="18.26953125" bestFit="1" customWidth="1"/>
    <col min="3" max="3" width="24.1796875" style="150" bestFit="1" customWidth="1"/>
    <col min="4" max="4" width="33.6328125" customWidth="1"/>
    <col min="5" max="5" width="11.90625" customWidth="1"/>
    <col min="6" max="6" width="94.6328125" customWidth="1"/>
    <col min="7" max="7" width="33" bestFit="1" customWidth="1"/>
    <col min="8" max="8" width="22.1796875" bestFit="1" customWidth="1"/>
    <col min="9" max="9" width="5.26953125" bestFit="1" customWidth="1"/>
    <col min="10" max="10" width="58.90625" bestFit="1" customWidth="1"/>
    <col min="11" max="11" width="2.26953125" bestFit="1" customWidth="1"/>
  </cols>
  <sheetData>
    <row r="1" spans="1:11" ht="15" x14ac:dyDescent="0.25">
      <c r="A1" s="131"/>
      <c r="B1" s="131" t="s">
        <v>166</v>
      </c>
      <c r="C1" s="147" t="s">
        <v>167</v>
      </c>
      <c r="D1" s="131" t="s">
        <v>168</v>
      </c>
      <c r="F1" s="134" t="s">
        <v>245</v>
      </c>
    </row>
    <row r="2" spans="1:11" ht="15" x14ac:dyDescent="0.25">
      <c r="A2" s="131">
        <f>ROW()-1</f>
        <v>1</v>
      </c>
      <c r="B2" s="131" t="s">
        <v>169</v>
      </c>
      <c r="C2" s="147" t="s">
        <v>170</v>
      </c>
      <c r="D2" s="136">
        <f>'成本&amp;报价'!C15</f>
        <v>105.84</v>
      </c>
      <c r="F2" s="133" t="s">
        <v>199</v>
      </c>
    </row>
    <row r="3" spans="1:11" ht="15" x14ac:dyDescent="0.25">
      <c r="A3" s="131">
        <f t="shared" ref="A3:A23" si="0">ROW()-1</f>
        <v>2</v>
      </c>
      <c r="B3" s="131" t="s">
        <v>171</v>
      </c>
      <c r="C3" s="147" t="s">
        <v>172</v>
      </c>
      <c r="D3" s="137">
        <f>_xlfn.CEILING.MATH((31*(收益!B42+收益!D42+收益!F42+收益!H42+收益!I42+收益!K42+收益!M42)+30*(收益!E42+收益!G42+收益!J42+收益!L42)+28*收益!C42)/D2/1000,1)</f>
        <v>1408</v>
      </c>
      <c r="F3" s="133" t="s">
        <v>200</v>
      </c>
    </row>
    <row r="4" spans="1:11" ht="15" x14ac:dyDescent="0.25">
      <c r="A4" s="131">
        <f t="shared" si="0"/>
        <v>3</v>
      </c>
      <c r="B4" s="131" t="s">
        <v>177</v>
      </c>
      <c r="C4" s="147" t="s">
        <v>178</v>
      </c>
      <c r="D4" s="137">
        <f>'成本&amp;报价'!C60</f>
        <v>2</v>
      </c>
      <c r="F4" s="133" t="s">
        <v>201</v>
      </c>
    </row>
    <row r="5" spans="1:11" ht="15" x14ac:dyDescent="0.25">
      <c r="A5" s="131">
        <f t="shared" si="0"/>
        <v>4</v>
      </c>
      <c r="B5" s="131" t="s">
        <v>181</v>
      </c>
      <c r="C5" s="147" t="s">
        <v>182</v>
      </c>
      <c r="D5" s="137">
        <f>'成本&amp;报价'!C4</f>
        <v>168</v>
      </c>
      <c r="F5" s="133" t="s">
        <v>202</v>
      </c>
    </row>
    <row r="6" spans="1:11" ht="15" x14ac:dyDescent="0.25">
      <c r="A6" s="131">
        <f t="shared" si="0"/>
        <v>5</v>
      </c>
      <c r="B6" s="131" t="s">
        <v>183</v>
      </c>
      <c r="C6" s="147" t="s">
        <v>184</v>
      </c>
      <c r="D6" s="137">
        <f>'IRR(电费折让30%收费20年）'!B2</f>
        <v>4067816</v>
      </c>
      <c r="F6" s="133" t="s">
        <v>203</v>
      </c>
    </row>
    <row r="7" spans="1:11" ht="15" x14ac:dyDescent="0.25">
      <c r="A7" s="131">
        <f t="shared" si="0"/>
        <v>6</v>
      </c>
      <c r="B7" s="131" t="s">
        <v>185</v>
      </c>
      <c r="C7" s="147" t="s">
        <v>186</v>
      </c>
      <c r="D7" s="137">
        <f>'IRR(电费折让30%收费20年）'!B3</f>
        <v>1054879.61904</v>
      </c>
      <c r="F7" s="133" t="s">
        <v>204</v>
      </c>
    </row>
    <row r="8" spans="1:11" ht="15" x14ac:dyDescent="0.25">
      <c r="A8" s="131">
        <f t="shared" si="0"/>
        <v>7</v>
      </c>
      <c r="B8" s="131" t="s">
        <v>187</v>
      </c>
      <c r="C8" s="147" t="s">
        <v>188</v>
      </c>
      <c r="D8" s="136">
        <f>'IRR(电费折让30%收费20年）'!E2</f>
        <v>3.8561897742435693</v>
      </c>
      <c r="F8" s="133" t="s">
        <v>205</v>
      </c>
    </row>
    <row r="9" spans="1:11" ht="15" x14ac:dyDescent="0.25">
      <c r="A9" s="131">
        <f t="shared" si="0"/>
        <v>8</v>
      </c>
      <c r="B9" s="131" t="s">
        <v>189</v>
      </c>
      <c r="C9" s="147" t="s">
        <v>190</v>
      </c>
      <c r="D9" s="137">
        <f>'IRR(电费折让30%收费20年）'!L9</f>
        <v>10002703.790293086</v>
      </c>
      <c r="F9" s="134" t="str">
        <f>G9&amp;H9&amp;I9&amp;J9&amp;K9</f>
        <v xml:space="preserve">                    .Replace "{{capacity}}", "105.84"</v>
      </c>
      <c r="G9" t="s">
        <v>206</v>
      </c>
      <c r="H9" t="str">
        <f t="shared" ref="H9:H28" si="1">C2</f>
        <v>{{capacity}}</v>
      </c>
      <c r="I9" s="129" t="s">
        <v>207</v>
      </c>
      <c r="J9" s="130" t="str">
        <f>TEXT(D2,"0.00")</f>
        <v>105.84</v>
      </c>
      <c r="K9" s="129" t="s">
        <v>208</v>
      </c>
    </row>
    <row r="10" spans="1:11" ht="15" x14ac:dyDescent="0.25">
      <c r="A10" s="131">
        <f t="shared" si="0"/>
        <v>9</v>
      </c>
      <c r="B10" s="131" t="s">
        <v>191</v>
      </c>
      <c r="C10" s="147" t="s">
        <v>192</v>
      </c>
      <c r="D10" s="138">
        <f>'IRR(电费折让30%收费20年）'!K9</f>
        <v>0.10889065042690049</v>
      </c>
      <c r="F10" s="134" t="str">
        <f t="shared" ref="F10:F28" si="2">G10&amp;H10&amp;I10&amp;J10&amp;K10</f>
        <v xml:space="preserve">                    .Replace "{{flh}}", "1408"</v>
      </c>
      <c r="G10" t="s">
        <v>206</v>
      </c>
      <c r="H10" t="str">
        <f t="shared" si="1"/>
        <v>{{flh}}</v>
      </c>
      <c r="I10" s="129" t="s">
        <v>207</v>
      </c>
      <c r="J10" s="130" t="str">
        <f>TEXT(D3,"0")</f>
        <v>1408</v>
      </c>
      <c r="K10" s="129" t="s">
        <v>208</v>
      </c>
    </row>
    <row r="11" spans="1:11" ht="15" x14ac:dyDescent="0.25">
      <c r="A11" s="131">
        <f t="shared" si="0"/>
        <v>10</v>
      </c>
      <c r="B11" s="131" t="s">
        <v>193</v>
      </c>
      <c r="C11" s="147" t="s">
        <v>194</v>
      </c>
      <c r="D11" s="137">
        <f>'IRR(7年后1元转让给业主）'!K6</f>
        <v>5165264.0529246358</v>
      </c>
      <c r="F11" s="134" t="str">
        <f t="shared" si="2"/>
        <v xml:space="preserve">                    .Replace "{{inv_count}}", "2"</v>
      </c>
      <c r="G11" t="s">
        <v>206</v>
      </c>
      <c r="H11" t="str">
        <f t="shared" si="1"/>
        <v>{{inv_count}}</v>
      </c>
      <c r="I11" s="129" t="s">
        <v>207</v>
      </c>
      <c r="J11" s="130" t="str">
        <f>TEXT(D4,"0")</f>
        <v>2</v>
      </c>
      <c r="K11" s="129" t="s">
        <v>208</v>
      </c>
    </row>
    <row r="12" spans="1:11" ht="15" x14ac:dyDescent="0.25">
      <c r="A12" s="131">
        <f t="shared" si="0"/>
        <v>11</v>
      </c>
      <c r="B12" s="131" t="s">
        <v>195</v>
      </c>
      <c r="C12" s="147" t="s">
        <v>196</v>
      </c>
      <c r="D12" s="138">
        <f>'IRR(7年后1元转让给业主）'!I6</f>
        <v>0.19847344114678989</v>
      </c>
      <c r="F12" s="134" t="str">
        <f t="shared" si="2"/>
        <v xml:space="preserve">                    .Replace "{{module_count}}", "168"</v>
      </c>
      <c r="G12" t="s">
        <v>206</v>
      </c>
      <c r="H12" t="str">
        <f t="shared" si="1"/>
        <v>{{module_count}}</v>
      </c>
      <c r="I12" s="129" t="s">
        <v>207</v>
      </c>
      <c r="J12" s="130" t="str">
        <f>TEXT(D5,"0")</f>
        <v>168</v>
      </c>
      <c r="K12" s="129" t="s">
        <v>208</v>
      </c>
    </row>
    <row r="13" spans="1:11" ht="15" x14ac:dyDescent="0.25">
      <c r="A13" s="131">
        <f t="shared" si="0"/>
        <v>12</v>
      </c>
      <c r="B13" s="131" t="s">
        <v>179</v>
      </c>
      <c r="C13" s="147" t="s">
        <v>180</v>
      </c>
      <c r="D13" s="132">
        <v>50</v>
      </c>
      <c r="F13" s="134" t="str">
        <f t="shared" si="2"/>
        <v xml:space="preserve">                    .Replace "{{total_investment}}", "4,067,816"</v>
      </c>
      <c r="G13" t="s">
        <v>206</v>
      </c>
      <c r="H13" t="str">
        <f t="shared" si="1"/>
        <v>{{total_investment}}</v>
      </c>
      <c r="I13" s="129" t="s">
        <v>207</v>
      </c>
      <c r="J13" s="128" t="str">
        <f>TEXT(D6,"#,##0")</f>
        <v>4,067,816</v>
      </c>
      <c r="K13" s="129" t="s">
        <v>208</v>
      </c>
    </row>
    <row r="14" spans="1:11" ht="15" x14ac:dyDescent="0.25">
      <c r="A14" s="131">
        <f t="shared" si="0"/>
        <v>13</v>
      </c>
      <c r="B14" s="131" t="s">
        <v>197</v>
      </c>
      <c r="C14" s="147" t="s">
        <v>198</v>
      </c>
      <c r="D14" s="132">
        <v>80</v>
      </c>
      <c r="F14" s="134" t="str">
        <f t="shared" si="2"/>
        <v xml:space="preserve">                    .Replace "{{year1_revenue}}", "1,054,880"</v>
      </c>
      <c r="G14" t="s">
        <v>206</v>
      </c>
      <c r="H14" t="str">
        <f t="shared" si="1"/>
        <v>{{year1_revenue}}</v>
      </c>
      <c r="I14" s="129" t="s">
        <v>207</v>
      </c>
      <c r="J14" s="128" t="str">
        <f>TEXT(D7,"#,##0")</f>
        <v>1,054,880</v>
      </c>
      <c r="K14" s="129" t="s">
        <v>208</v>
      </c>
    </row>
    <row r="15" spans="1:11" ht="15" x14ac:dyDescent="0.25">
      <c r="A15" s="131">
        <f t="shared" si="0"/>
        <v>14</v>
      </c>
      <c r="B15" s="131" t="s">
        <v>216</v>
      </c>
      <c r="C15" s="148" t="s">
        <v>215</v>
      </c>
      <c r="D15" s="139" t="s">
        <v>221</v>
      </c>
      <c r="F15" s="134" t="str">
        <f t="shared" si="2"/>
        <v xml:space="preserve">                    .Replace "{{payback_period}}", "3.86"</v>
      </c>
      <c r="G15" t="s">
        <v>206</v>
      </c>
      <c r="H15" t="str">
        <f t="shared" si="1"/>
        <v>{{payback_period}}</v>
      </c>
      <c r="I15" s="129" t="s">
        <v>207</v>
      </c>
      <c r="J15" s="130" t="str">
        <f>TEXT(D8,"0.00")</f>
        <v>3.86</v>
      </c>
      <c r="K15" s="129" t="s">
        <v>208</v>
      </c>
    </row>
    <row r="16" spans="1:11" ht="15" x14ac:dyDescent="0.25">
      <c r="A16" s="131">
        <f t="shared" si="0"/>
        <v>15</v>
      </c>
      <c r="B16" s="131" t="s">
        <v>218</v>
      </c>
      <c r="C16" s="148" t="s">
        <v>217</v>
      </c>
      <c r="D16" s="139" t="s">
        <v>222</v>
      </c>
      <c r="F16" s="134" t="str">
        <f t="shared" si="2"/>
        <v xml:space="preserve">                    .Replace "{{rev_20y}}", "10,002,704"</v>
      </c>
      <c r="G16" t="s">
        <v>206</v>
      </c>
      <c r="H16" t="str">
        <f t="shared" si="1"/>
        <v>{{rev_20y}}</v>
      </c>
      <c r="I16" s="129" t="s">
        <v>207</v>
      </c>
      <c r="J16" s="128" t="str">
        <f>TEXT(D9,"#,##0")</f>
        <v>10,002,704</v>
      </c>
      <c r="K16" s="129" t="s">
        <v>208</v>
      </c>
    </row>
    <row r="17" spans="1:11" ht="15" x14ac:dyDescent="0.25">
      <c r="A17" s="131">
        <f t="shared" si="0"/>
        <v>16</v>
      </c>
      <c r="B17" s="131" t="s">
        <v>219</v>
      </c>
      <c r="C17" s="147" t="s">
        <v>220</v>
      </c>
      <c r="D17" s="139" t="s">
        <v>223</v>
      </c>
      <c r="F17" s="134" t="str">
        <f t="shared" si="2"/>
        <v xml:space="preserve">                    .Replace "{{irr_20y}}", "10.89%"</v>
      </c>
      <c r="G17" t="s">
        <v>206</v>
      </c>
      <c r="H17" t="str">
        <f t="shared" si="1"/>
        <v>{{irr_20y}}</v>
      </c>
      <c r="I17" s="129" t="s">
        <v>207</v>
      </c>
      <c r="J17" s="130" t="str">
        <f>TEXT(D10,"0.00%")</f>
        <v>10.89%</v>
      </c>
      <c r="K17" s="129" t="s">
        <v>208</v>
      </c>
    </row>
    <row r="18" spans="1:11" ht="15" x14ac:dyDescent="0.25">
      <c r="A18" s="131">
        <f t="shared" si="0"/>
        <v>17</v>
      </c>
      <c r="B18" s="131" t="s">
        <v>173</v>
      </c>
      <c r="C18" s="147" t="s">
        <v>174</v>
      </c>
      <c r="D18" s="140">
        <v>1932</v>
      </c>
      <c r="F18" s="134" t="str">
        <f t="shared" si="2"/>
        <v xml:space="preserve">                    .Replace "{{rev_5y}}", "5,165,264"</v>
      </c>
      <c r="G18" t="s">
        <v>206</v>
      </c>
      <c r="H18" t="str">
        <f t="shared" si="1"/>
        <v>{{rev_5y}}</v>
      </c>
      <c r="I18" s="129" t="s">
        <v>207</v>
      </c>
      <c r="J18" s="128" t="str">
        <f>TEXT(D11,"#,##0")</f>
        <v>5,165,264</v>
      </c>
      <c r="K18" s="129" t="s">
        <v>208</v>
      </c>
    </row>
    <row r="19" spans="1:11" ht="15" x14ac:dyDescent="0.25">
      <c r="A19" s="131">
        <f t="shared" si="0"/>
        <v>18</v>
      </c>
      <c r="B19" s="131" t="s">
        <v>175</v>
      </c>
      <c r="C19" s="147" t="s">
        <v>176</v>
      </c>
      <c r="D19" s="141">
        <v>1014.45</v>
      </c>
      <c r="F19" s="134" t="str">
        <f t="shared" si="2"/>
        <v xml:space="preserve">                    .Replace "{{irr_5y}}", "19.85%"</v>
      </c>
      <c r="G19" t="s">
        <v>206</v>
      </c>
      <c r="H19" t="str">
        <f t="shared" si="1"/>
        <v>{{irr_5y}}</v>
      </c>
      <c r="I19" s="129" t="s">
        <v>207</v>
      </c>
      <c r="J19" s="130" t="str">
        <f>TEXT(D12,"0.00%")</f>
        <v>19.85%</v>
      </c>
      <c r="K19" s="129" t="s">
        <v>208</v>
      </c>
    </row>
    <row r="20" spans="1:11" ht="15" x14ac:dyDescent="0.25">
      <c r="A20" s="131">
        <f t="shared" si="0"/>
        <v>19</v>
      </c>
      <c r="B20" s="131" t="s">
        <v>241</v>
      </c>
      <c r="C20" s="149" t="s">
        <v>240</v>
      </c>
      <c r="D20" s="139">
        <v>8.7899999999999991</v>
      </c>
      <c r="F20" s="134" t="str">
        <f t="shared" si="2"/>
        <v xml:space="preserve">                    .Replace "{{inv_power}}", "50"</v>
      </c>
      <c r="G20" t="s">
        <v>206</v>
      </c>
      <c r="H20" t="str">
        <f t="shared" si="1"/>
        <v>{{inv_power}}</v>
      </c>
      <c r="I20" s="129" t="s">
        <v>207</v>
      </c>
      <c r="J20" s="130" t="str">
        <f>TEXT(D13,"0")</f>
        <v>50</v>
      </c>
      <c r="K20" s="129" t="s">
        <v>208</v>
      </c>
    </row>
    <row r="21" spans="1:11" ht="15" x14ac:dyDescent="0.25">
      <c r="A21" s="131">
        <f t="shared" si="0"/>
        <v>20</v>
      </c>
      <c r="B21" s="131" t="s">
        <v>242</v>
      </c>
      <c r="C21" s="148" t="s">
        <v>243</v>
      </c>
      <c r="D21" s="139" t="s">
        <v>244</v>
      </c>
      <c r="F21" s="134" t="str">
        <f t="shared" si="2"/>
        <v xml:space="preserve">                    .Replace "{{carbon_reduction}}", "80"</v>
      </c>
      <c r="G21" t="s">
        <v>206</v>
      </c>
      <c r="H21" t="str">
        <f t="shared" si="1"/>
        <v>{{carbon_reduction}}</v>
      </c>
      <c r="I21" s="129" t="s">
        <v>207</v>
      </c>
      <c r="J21" s="130" t="str">
        <f>TEXT(D14,"0")</f>
        <v>80</v>
      </c>
      <c r="K21" s="129" t="s">
        <v>208</v>
      </c>
    </row>
    <row r="22" spans="1:11" ht="15" x14ac:dyDescent="0.25">
      <c r="A22" s="131">
        <f t="shared" si="0"/>
        <v>21</v>
      </c>
      <c r="B22" s="131" t="s">
        <v>246</v>
      </c>
      <c r="C22" s="148" t="s">
        <v>247</v>
      </c>
      <c r="D22" s="139" t="s">
        <v>248</v>
      </c>
      <c r="F22" s="134" t="str">
        <f t="shared" si="2"/>
        <v xml:space="preserve">                    .Replace "{{pro_own}}", "FATIMA UNIVERSITY,LAGUNA"</v>
      </c>
      <c r="G22" t="s">
        <v>206</v>
      </c>
      <c r="H22" t="str">
        <f t="shared" si="1"/>
        <v>{{pro_own}}</v>
      </c>
      <c r="I22" s="129" t="s">
        <v>207</v>
      </c>
      <c r="J22" s="130" t="str">
        <f>TEXT(D15,"0")</f>
        <v>FATIMA UNIVERSITY,LAGUNA</v>
      </c>
      <c r="K22" s="129" t="s">
        <v>208</v>
      </c>
    </row>
    <row r="23" spans="1:11" ht="15" x14ac:dyDescent="0.25">
      <c r="A23" s="131">
        <f t="shared" si="0"/>
        <v>22</v>
      </c>
      <c r="B23" s="131"/>
      <c r="C23" s="148"/>
      <c r="D23" s="142"/>
      <c r="F23" s="134" t="str">
        <f t="shared" si="2"/>
        <v xml:space="preserve">                    .Replace "{{adr}}", "Lot 2-B Manila S Rd, City of Santa Rosa, 4026 Laguna"</v>
      </c>
      <c r="G23" t="s">
        <v>206</v>
      </c>
      <c r="H23" t="str">
        <f t="shared" si="1"/>
        <v>{{adr}}</v>
      </c>
      <c r="I23" s="129" t="s">
        <v>207</v>
      </c>
      <c r="J23" s="130" t="str">
        <f>TEXT(D16,"0")</f>
        <v>Lot 2-B Manila S Rd, City of Santa Rosa, 4026 Laguna</v>
      </c>
      <c r="K23" s="129" t="s">
        <v>208</v>
      </c>
    </row>
    <row r="24" spans="1:11" ht="15" x14ac:dyDescent="0.25">
      <c r="A24" s="135"/>
      <c r="B24" s="131" t="s">
        <v>236</v>
      </c>
      <c r="C24" s="148" t="s">
        <v>225</v>
      </c>
      <c r="D24" s="135"/>
      <c r="F24" s="134" t="str">
        <f t="shared" si="2"/>
        <v xml:space="preserve">                    .Replace "{{geographic}}", Chr(34) &amp; "14°18'17.09""N 121°06'13.43""E"&amp; Chr(34)</v>
      </c>
      <c r="G24" t="s">
        <v>206</v>
      </c>
      <c r="H24" t="str">
        <f t="shared" si="1"/>
        <v>{{geographic}}</v>
      </c>
      <c r="I24" s="129" t="s">
        <v>249</v>
      </c>
      <c r="J24" s="130" t="str">
        <f>""""&amp;SUBSTITUTE(D17,"""","""""")&amp;""""</f>
        <v>"14°18'17.09""N 121°06'13.43""E"</v>
      </c>
      <c r="K24" s="146" t="s">
        <v>250</v>
      </c>
    </row>
    <row r="25" spans="1:11" ht="15" x14ac:dyDescent="0.25">
      <c r="A25" s="135"/>
      <c r="B25" s="131" t="s">
        <v>237</v>
      </c>
      <c r="C25" s="148" t="s">
        <v>224</v>
      </c>
      <c r="D25" s="135"/>
      <c r="F25" s="134" t="str">
        <f t="shared" si="2"/>
        <v xml:space="preserve">                    .Replace "{{ghi}}", "1932.0"</v>
      </c>
      <c r="G25" t="s">
        <v>206</v>
      </c>
      <c r="H25" t="str">
        <f t="shared" si="1"/>
        <v>{{ghi}}</v>
      </c>
      <c r="I25" s="129" t="s">
        <v>207</v>
      </c>
      <c r="J25" s="130" t="str">
        <f>TEXT(D18,"0.0")</f>
        <v>1932.0</v>
      </c>
      <c r="K25" s="129" t="s">
        <v>208</v>
      </c>
    </row>
    <row r="26" spans="1:11" ht="15" x14ac:dyDescent="0.25">
      <c r="A26" s="135"/>
      <c r="B26" s="131" t="s">
        <v>238</v>
      </c>
      <c r="C26" s="148" t="s">
        <v>226</v>
      </c>
      <c r="D26" s="135"/>
      <c r="F26" s="134" t="str">
        <f t="shared" si="2"/>
        <v xml:space="preserve">                    .Replace "{{roof_area}}", "1014.45"</v>
      </c>
      <c r="G26" t="s">
        <v>206</v>
      </c>
      <c r="H26" t="str">
        <f t="shared" si="1"/>
        <v>{{roof_area}}</v>
      </c>
      <c r="I26" s="129" t="s">
        <v>207</v>
      </c>
      <c r="J26" s="130" t="str">
        <f>TEXT(D19,"0.00")</f>
        <v>1014.45</v>
      </c>
      <c r="K26" s="129" t="s">
        <v>208</v>
      </c>
    </row>
    <row r="27" spans="1:11" ht="15" x14ac:dyDescent="0.25">
      <c r="A27" s="135"/>
      <c r="B27" s="131" t="s">
        <v>239</v>
      </c>
      <c r="C27" s="148" t="s">
        <v>227</v>
      </c>
      <c r="D27" s="135"/>
      <c r="F27" s="134" t="str">
        <f t="shared" si="2"/>
        <v xml:space="preserve">                    .Replace "{{Exchg}}", "8.79"</v>
      </c>
      <c r="G27" t="s">
        <v>206</v>
      </c>
      <c r="H27" t="str">
        <f t="shared" si="1"/>
        <v>{{Exchg}}</v>
      </c>
      <c r="I27" s="129" t="s">
        <v>207</v>
      </c>
      <c r="J27" s="130" t="str">
        <f>TEXT(D20,"0.00")</f>
        <v>8.79</v>
      </c>
      <c r="K27" s="129" t="s">
        <v>208</v>
      </c>
    </row>
    <row r="28" spans="1:11" ht="15" x14ac:dyDescent="0.25">
      <c r="A28" s="135"/>
      <c r="B28" s="131" t="s">
        <v>231</v>
      </c>
      <c r="C28" s="148" t="s">
        <v>232</v>
      </c>
      <c r="D28" s="135"/>
      <c r="F28" s="134" t="str">
        <f t="shared" si="2"/>
        <v xml:space="preserve">                    .Replace "{{Exchg_date}}", "April 2 2006"</v>
      </c>
      <c r="G28" t="s">
        <v>206</v>
      </c>
      <c r="H28" t="str">
        <f t="shared" si="1"/>
        <v>{{Exchg_date}}</v>
      </c>
      <c r="I28" s="129" t="s">
        <v>207</v>
      </c>
      <c r="J28" s="130" t="str">
        <f>TEXT(D21,"0.00")</f>
        <v>April 2 2006</v>
      </c>
      <c r="K28" s="129" t="s">
        <v>208</v>
      </c>
    </row>
    <row r="29" spans="1:11" ht="15" x14ac:dyDescent="0.25">
      <c r="A29" s="135"/>
      <c r="B29" s="131" t="s">
        <v>230</v>
      </c>
      <c r="C29" s="148" t="s">
        <v>233</v>
      </c>
      <c r="D29" s="135"/>
      <c r="F29" s="134" t="str">
        <f t="shared" ref="F29" si="3">G29&amp;H29&amp;I29&amp;J29&amp;K29</f>
        <v xml:space="preserve">                    .Replace "{{set}}", "sets"</v>
      </c>
      <c r="G29" t="s">
        <v>206</v>
      </c>
      <c r="H29" t="str">
        <f t="shared" ref="H29" si="4">C22</f>
        <v>{{set}}</v>
      </c>
      <c r="I29" s="129" t="s">
        <v>207</v>
      </c>
      <c r="J29" s="130" t="str">
        <f>TEXT(D22,"0.00")</f>
        <v>sets</v>
      </c>
      <c r="K29" s="129" t="s">
        <v>208</v>
      </c>
    </row>
    <row r="30" spans="1:11" ht="15" x14ac:dyDescent="0.25">
      <c r="A30" s="135"/>
      <c r="B30" s="131" t="s">
        <v>235</v>
      </c>
      <c r="C30" s="148" t="s">
        <v>234</v>
      </c>
      <c r="D30" s="135"/>
      <c r="F30" s="134"/>
      <c r="J30" s="130"/>
      <c r="K30" s="129"/>
    </row>
    <row r="31" spans="1:11" ht="15" x14ac:dyDescent="0.25">
      <c r="A31" s="135"/>
      <c r="D31" s="135"/>
      <c r="F31" s="134"/>
      <c r="K31" s="129"/>
    </row>
    <row r="32" spans="1:11" ht="15" x14ac:dyDescent="0.25">
      <c r="A32" s="135"/>
      <c r="D32" s="135"/>
      <c r="F32" s="134"/>
      <c r="K32" s="129"/>
    </row>
    <row r="33" spans="6:6" x14ac:dyDescent="0.25">
      <c r="F33" s="133" t="s">
        <v>209</v>
      </c>
    </row>
    <row r="34" spans="6:6" x14ac:dyDescent="0.25">
      <c r="F34" s="133" t="s">
        <v>210</v>
      </c>
    </row>
    <row r="35" spans="6:6" x14ac:dyDescent="0.25">
      <c r="F35" s="133" t="s">
        <v>211</v>
      </c>
    </row>
    <row r="36" spans="6:6" x14ac:dyDescent="0.25">
      <c r="F36" s="133" t="s">
        <v>212</v>
      </c>
    </row>
    <row r="37" spans="6:6" x14ac:dyDescent="0.25">
      <c r="F37" s="133" t="s">
        <v>201</v>
      </c>
    </row>
    <row r="38" spans="6:6" x14ac:dyDescent="0.25">
      <c r="F38" s="133" t="s">
        <v>213</v>
      </c>
    </row>
    <row r="39" spans="6:6" x14ac:dyDescent="0.25">
      <c r="F39" s="133" t="s">
        <v>214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成本&amp;报价</vt:lpstr>
      <vt:lpstr>收益</vt:lpstr>
      <vt:lpstr>IRR(电费折让30%收费20年）</vt:lpstr>
      <vt:lpstr>IRR(7年后1元转让给业主）</vt:lpstr>
      <vt:lpstr>PPT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迦璐 董</cp:lastModifiedBy>
  <dcterms:created xsi:type="dcterms:W3CDTF">2025-12-16T10:26:50Z</dcterms:created>
  <dcterms:modified xsi:type="dcterms:W3CDTF">2026-05-17T10:34:19Z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961AE7EA0CD74AAA8735B1B240A11B1D_11</vt:lpwstr>
  </property>
  <property fmtid="{D5CDD505-2E9C-101B-9397-08002B2CF9AE}" pid="3" name="KSOProductBuildVer">
    <vt:lpwstr>2052-12.1.0.23542</vt:lpwstr>
  </property>
</Properties>
</file>